
<file path=[Content_Types].xml><?xml version="1.0" encoding="utf-8"?>
<Types xmlns="http://schemas.openxmlformats.org/package/2006/content-types">
  <Default Extension="xml" ContentType="application/vnd.openxmlformats-package.core-properties+xml"/>
  <Default Extension="rels" ContentType="application/vnd.openxmlformats-package.relationships+xml"/>
  <Default Extension="bin" ContentType="application/vnd.openxmlformats-officedocument.spreadsheetml.printerSettings"/>
  <Override PartName="/docMetadata/LabelInfo.xml" ContentType="application/vnd.ms-office.classificationlabel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3.xml" ContentType="application/xml"/>
  <Override PartName="/customXml/itemProps31.xml" ContentType="application/vnd.openxmlformats-officedocument.customXmlProperties+xml"/>
  <Override PartName="/xl/worksheets/sheet31.xml" ContentType="application/vnd.openxmlformats-officedocument.spreadsheetml.worksheet+xml"/>
  <Override PartName="/xl/tables/table21.xml" ContentType="application/vnd.openxmlformats-officedocument.spreadsheetml.table+xml"/>
  <Override PartName="/xl/styles.xml" ContentType="application/vnd.openxmlformats-officedocument.spreadsheetml.styles+xml"/>
  <Override PartName="/customXml/item22.xml" ContentType="application/xml"/>
  <Override PartName="/customXml/itemProps22.xml" ContentType="application/vnd.openxmlformats-officedocument.customXmlProperties+xml"/>
  <Override PartName="/xl/worksheets/sheet2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heme/theme11.xml" ContentType="application/vnd.openxmlformats-officedocument.theme+xml"/>
  <Override PartName="/customXml/item13.xml" ContentType="application/xml"/>
  <Override PartName="/customXml/itemProps13.xml" ContentType="application/vnd.openxmlformats-officedocument.customXmlProperties+xml"/>
  <Override PartName="/xl/worksheets/sheet54.xml" ContentType="application/vnd.openxmlformats-officedocument.spreadsheetml.worksheet+xml"/>
  <Override PartName="/xl/tables/table43.xml" ContentType="application/vnd.openxmlformats-officedocument.spreadsheetml.table+xml"/>
  <Override PartName="/xl/tables/table84.xml" ContentType="application/vnd.openxmlformats-officedocument.spreadsheetml.table+xml"/>
  <Override PartName="/xl/tables/table35.xml" ContentType="application/vnd.openxmlformats-officedocument.spreadsheetml.table+xml"/>
  <Override PartName="/xl/tables/table76.xml" ContentType="application/vnd.openxmlformats-officedocument.spreadsheetml.table+xml"/>
  <Override PartName="/xl/tables/table67.xml" ContentType="application/vnd.openxmlformats-officedocument.spreadsheetml.table+xml"/>
  <Override PartName="/xl/tables/table58.xml" ContentType="application/vnd.openxmlformats-officedocument.spreadsheetml.table+xml"/>
  <Override PartName="/xl/calcChain.xml" ContentType="application/vnd.openxmlformats-officedocument.spreadsheetml.calcChain+xml"/>
  <Override PartName="/xl/worksheets/sheet45.xml" ContentType="application/vnd.openxmlformats-officedocument.spreadsheetml.workshee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metadata1.xml" ContentType="application/vnd.openxmlformats-officedocument.spreadsheetml.sheetMetadata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/docProps/core.xml" Id="rId3" /><Relationship Type="http://schemas.microsoft.com/office/2020/02/relationships/classificationlabels" Target="/docMetadata/LabelInfo.xml" Id="rId2" /><Relationship Type="http://schemas.openxmlformats.org/officeDocument/2006/relationships/officeDocument" Target="/xl/workbook.xml" Id="rId1" /><Relationship Type="http://schemas.openxmlformats.org/officeDocument/2006/relationships/custom-properties" Target="/docProps/custom.xml" Id="rId5" /><Relationship Type="http://schemas.openxmlformats.org/officeDocument/2006/relationships/extended-properties" Target="/docProps/app.xml" Id="rId4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3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F244E04-7F40-44A2-826B-7470B053FCB3}" xr6:coauthVersionLast="47" xr6:coauthVersionMax="47" xr10:uidLastSave="{00000000-0000-0000-0000-000000000000}"/>
  <bookViews>
    <workbookView xWindow="-120" yWindow="-120" windowWidth="29040" windowHeight="17640" xr2:uid="{568C94E4-E3F7-4EB4-8281-4914A18C47B4}"/>
  </bookViews>
  <sheets>
    <sheet name="简介" sheetId="6" r:id="rId1"/>
    <sheet name="里程碑" sheetId="1" r:id="rId2"/>
    <sheet name="任务" sheetId="7" r:id="rId3"/>
    <sheet name="甘特图" sheetId="3" r:id="rId4"/>
    <sheet name="动态图表数据（隐藏）" sheetId="2" state="hidden" r:id="rId5"/>
  </sheets>
  <definedNames>
    <definedName name="DateRange">{15,30,45,60,75,90,105,120}</definedName>
    <definedName name="跟踪今天">里程碑!$D$2</definedName>
    <definedName name="结束日期">IFERROR(IF(MAX(任务[结束日期])="",TODAY(),MAX(MAX(任务[结束日期]),MAX(里程碑[日期]))),"")</definedName>
    <definedName name="开始日期">IFERROR(IF(MIN(任务[开始日期])="",TODAY(),MIN(任务[开始日期])),"")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7" l="1"/>
  <c r="F24" i="7"/>
  <c r="F23" i="7"/>
  <c r="F22" i="7"/>
  <c r="F21" i="7"/>
  <c r="F20" i="7"/>
  <c r="F19" i="7"/>
  <c r="F18" i="7"/>
  <c r="C17" i="7"/>
  <c r="C16" i="7"/>
  <c r="C15" i="7"/>
  <c r="C14" i="7"/>
  <c r="C13" i="7"/>
  <c r="C12" i="7"/>
  <c r="C11" i="7"/>
  <c r="C10" i="7"/>
  <c r="C9" i="7"/>
  <c r="C8" i="7"/>
  <c r="C7" i="7"/>
  <c r="C6" i="7"/>
  <c r="D11" i="1"/>
  <c r="G24" i="2"/>
  <c r="G25" i="2"/>
  <c r="G26" i="2"/>
  <c r="G27" i="2"/>
  <c r="G28" i="2"/>
  <c r="G29" i="2"/>
  <c r="G30" i="2"/>
  <c r="G31" i="2"/>
  <c r="G32" i="2"/>
  <c r="D8" i="1"/>
  <c r="D10" i="1"/>
  <c r="D9" i="1"/>
  <c r="D7" i="1"/>
  <c r="D12" i="7" l="1"/>
  <c r="B11" i="2"/>
  <c r="F12" i="7"/>
  <c r="D6" i="7"/>
  <c r="D17" i="7"/>
  <c r="F17" i="7" s="1"/>
  <c r="D16" i="7"/>
  <c r="F16" i="7" s="1"/>
  <c r="D15" i="7"/>
  <c r="F15" i="7" s="1"/>
  <c r="D14" i="7"/>
  <c r="F14" i="7" s="1"/>
  <c r="D13" i="7"/>
  <c r="F13" i="7" s="1"/>
  <c r="D11" i="7"/>
  <c r="D10" i="7"/>
  <c r="D9" i="7"/>
  <c r="D8" i="7"/>
  <c r="D7" i="7"/>
  <c r="F7" i="7" l="1"/>
  <c r="F8" i="7"/>
  <c r="F9" i="7"/>
  <c r="F10" i="7"/>
  <c r="F11" i="7"/>
  <c r="F6" i="7"/>
  <c r="D6" i="1"/>
  <c r="I25" i="2" l="1"/>
  <c r="I28" i="2"/>
  <c r="I31" i="2"/>
  <c r="I30" i="2"/>
  <c r="I26" i="2"/>
  <c r="I24" i="2"/>
  <c r="I29" i="2"/>
  <c r="I27" i="2"/>
  <c r="I32" i="2"/>
  <c r="B12" i="2" l="1"/>
  <c r="B21" i="2" l="1"/>
  <c r="B15" i="2"/>
  <c r="B16" i="2"/>
  <c r="B17" i="2"/>
  <c r="B18" i="2"/>
  <c r="B19" i="2"/>
  <c r="B20" i="2"/>
  <c r="G20" i="2"/>
  <c r="I20" i="2" s="1"/>
  <c r="G22" i="2"/>
  <c r="I22" i="2" s="1"/>
  <c r="G23" i="2"/>
  <c r="H23" i="2" s="1"/>
  <c r="G19" i="2"/>
  <c r="H19" i="2" s="1"/>
  <c r="G21" i="2"/>
  <c r="H21" i="2" s="1"/>
  <c r="G18" i="2"/>
  <c r="H18" i="2" s="1"/>
  <c r="D17" i="2" a="1"/>
  <c r="D17" i="2" s="1"/>
  <c r="D21" i="2" a="1"/>
  <c r="D21" i="2" s="1"/>
  <c r="D20" i="2" a="1"/>
  <c r="D20" i="2" s="1"/>
  <c r="D19" i="2" a="1"/>
  <c r="D19" i="2" s="1"/>
  <c r="D16" i="2" a="1"/>
  <c r="D16" i="2" s="1"/>
  <c r="D15" i="2" a="1"/>
  <c r="D15" i="2" s="1"/>
  <c r="D18" i="2" a="1"/>
  <c r="D18" i="2" s="1"/>
  <c r="H29" i="2"/>
  <c r="H27" i="2"/>
  <c r="H32" i="2"/>
  <c r="H24" i="2"/>
  <c r="H31" i="2"/>
  <c r="H30" i="2"/>
  <c r="H28" i="2"/>
  <c r="H26" i="2"/>
  <c r="H25" i="2"/>
  <c r="C18" i="2" l="1"/>
  <c r="C16" i="2"/>
  <c r="C19" i="2"/>
  <c r="C20" i="2"/>
  <c r="C21" i="2"/>
  <c r="C17" i="2"/>
  <c r="C15" i="2"/>
  <c r="E21" i="2"/>
  <c r="E17" i="2"/>
  <c r="E18" i="2"/>
  <c r="E19" i="2"/>
  <c r="E20" i="2"/>
  <c r="E15" i="2"/>
  <c r="E16" i="2"/>
  <c r="I21" i="2"/>
  <c r="I23" i="2"/>
  <c r="I19" i="2"/>
  <c r="H20" i="2"/>
  <c r="H22" i="2"/>
  <c r="I18" i="2"/>
  <c r="B2" i="2" l="1"/>
  <c r="C5" i="2"/>
  <c r="C4" i="2"/>
  <c r="B5" i="2"/>
  <c r="B4" i="2"/>
</calcChain>
</file>

<file path=xl/metadata1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<sst xmlns="http://schemas.openxmlformats.org/spreadsheetml/2006/main" count="91" uniqueCount="79">
  <si>
    <t>关于此工作簿</t>
  </si>
  <si>
    <t xml:space="preserve">在“里程碑和任务”工作表中输入里程碑和任务信息。若要沿时间线绘制里程碑，请在“编号”列中输入 0，然后将标签位置更新为“下方”以避免标签重叠。
里程碑表中的位置列，可在任务图表中的同一行或堆叠行上绘制里程碑。要在同一行上绘制，请在此列中为每个里程碑输入相同的数字。若要在不同的行上绘制，请输入不同的数字。示例数据沿行位置 2 绘制所有里程碑。
</t>
  </si>
  <si>
    <t>屏幕阅读器指南</t>
  </si>
  <si>
    <t xml:space="preserve">
此工作簿中有 5 个工作表:
简介
里程碑
任务
甘特图
动态图表数据(隐藏)
每个工作表的指示文本位于每个工作表中自单元格 A1 开始的 A 列中。这些指示都使用隐藏文本编写。每个步骤均提供相应指示，引导阅读者查看行中的相应信息。除非另有明确指示，否则会在单元格 A2、A3 等后续单元格中持续指示相应步骤。例如，指示文本可能显示为“转到单元格 A6”以执行下一步操作。
将不会打印隐藏文本。
若要从任何工作表删除这些指示，只需删除 A 列即可。
</t>
  </si>
  <si>
    <t>动态图表数据（隐藏）</t>
  </si>
  <si>
    <t xml:space="preserve">
请勿删除或修改隐藏工作表中的内容。此操作可能会损害甘特图表的完整性。
数据可能显示为空白，日期显示可能不正确，请勿填写、编辑、删除或以其他方式修改此数据，否则可能会覆盖公式和破坏图表绘制功能。
该“动态里程碑”表允许绘制 15 个里程碑。若要绘制超过 15 个里程碑，只需展开表格容纳数字即可。请记住，仅在“图表数据”工作表中添加实际里程碑数据。
</t>
  </si>
  <si>
    <t>提示</t>
  </si>
  <si>
    <t xml:space="preserve">
默认情况下，从单元格 C5 开始，使用“图表数据”工作表中的“位置”列在“甘特图”的第 1 行绘制里程碑。若要在不同行上绘制里程碑，只需更改数字即可。 
</t>
  </si>
  <si>
    <t xml:space="preserve">默认设置是在“甘特图”中突出显示今天的日期。若要不再突出显示今天的日期，只需在“图表数据”工作表的单元格 D2 中选择“否”即可。
</t>
  </si>
  <si>
    <t xml:space="preserve">以 5 个日期为间隔绘制“甘特图”日期时间线。要更改此设置，请在“甘特图”工作表中选择时间线，然后选择“设置坐标轴格式”。例如，将单位“大”从 5 更改为 1 或 10。 
</t>
  </si>
  <si>
    <t>这是此工作表中的最后一条指示。</t>
  </si>
  <si>
    <t>在此工作表中创建日期​​跟踪​​甘特图。
此工作表的标题位于单元格 B1 中。
有关如何使用此工作表的信息（包括屏幕阅读器指示）包含在“关于”工作表中。
继续向下浏览 A 列，获取进一步指示。</t>
  </si>
  <si>
    <t>如果要在“甘特图”工作表中突出显示今天的日期，请在单元格 D2 中选择选项“是”。
如果不想在“甘特图”工作表中突出显示今天的日期，请在单元格 D2 中选择选项“否”。
在单元格 D2中，选择 Alt+向下键以显示选项。</t>
  </si>
  <si>
    <t>里程碑表的里程碑标题位于单元格 B3 中。
任务表的任务标题位于单元格 G3 中。</t>
  </si>
  <si>
    <t>有关里程碑表中各列的信息位于从单元格 B4 到 E4 的此行中。
有关任务表中各列的信息位于从单元格 G4 到 J4 的此行中。</t>
  </si>
  <si>
    <t>里程碑表标题位于单元格 B5 到 E5 中。任务表标题位于单元格 G5 到 J5 中。
里程碑示例数据位于单元格 B6 到 E11 中。
任务示例数据位于单元格 G6 到 J17 中。
下一条指示位于单元格 A21 中。</t>
  </si>
  <si>
    <t>若要添加更多里程碑，请在此之上添加新行。
请注意，图表的默认里程碑数为 15。添加新的里程碑需要更改隐藏的工作表。有关详细信息，请参阅“关于”工作表的单元格 A9。
下一条指示位于单元格 A26 中。</t>
  </si>
  <si>
    <t>备注位于单元格 G26 中。
这是此工作表中的最后一条指示。</t>
  </si>
  <si>
    <t>日期​​跟踪​​甘特图</t>
  </si>
  <si>
    <t>跟踪今天的日期?</t>
  </si>
  <si>
    <t>里程碑</t>
  </si>
  <si>
    <t>此列应按顺序排序。</t>
  </si>
  <si>
    <t>编号</t>
  </si>
  <si>
    <t>若要添加更多里程碑，请在此之上添加新行。</t>
  </si>
  <si>
    <t>位置列，用于在任务图表中绘制里程碑。</t>
  </si>
  <si>
    <t>位置​​</t>
  </si>
  <si>
    <t>是</t>
  </si>
  <si>
    <t>在此列中输入里程碑的日期。</t>
  </si>
  <si>
    <t>日期</t>
  </si>
  <si>
    <t>在此列中输入里程碑说明。这些说明将显示在图表中。</t>
  </si>
  <si>
    <t>里程碑 1</t>
  </si>
  <si>
    <t>里程碑 2</t>
  </si>
  <si>
    <t>里程碑 3</t>
  </si>
  <si>
    <t>里程碑 4</t>
  </si>
  <si>
    <t>里程碑 5</t>
  </si>
  <si>
    <t>里程碑 6</t>
  </si>
  <si>
    <t>任务</t>
  </si>
  <si>
    <t>若要添加更多任务，请在此之上添加新行。</t>
  </si>
  <si>
    <t>在下面输入每个任务的开始日期。为获得最佳结果，请按升序对此列进行排序。</t>
  </si>
  <si>
    <t>开始日期</t>
  </si>
  <si>
    <t>在下面的此列中输入每个任务或活动的结束日期。</t>
  </si>
  <si>
    <t>结束日期</t>
  </si>
  <si>
    <t>在此列中输入任务和/或活动。</t>
  </si>
  <si>
    <t>活动 1</t>
  </si>
  <si>
    <t>活动 2</t>
  </si>
  <si>
    <t>活动 3</t>
  </si>
  <si>
    <t>活动 4</t>
  </si>
  <si>
    <t>活动 5</t>
  </si>
  <si>
    <t>活动 6</t>
  </si>
  <si>
    <t>活动 7</t>
  </si>
  <si>
    <t>活动 8</t>
  </si>
  <si>
    <t>活动 9</t>
  </si>
  <si>
    <t>活动 10</t>
  </si>
  <si>
    <t>活动 11</t>
  </si>
  <si>
    <t>活动 12</t>
  </si>
  <si>
    <t>自动计算的列，用于绘制每个任务的持续时间。请勿删除或修改。</t>
  </si>
  <si>
    <t>持续时间（天）</t>
  </si>
  <si>
    <t>此工作表中的甘特图显示“今天”，以及某个日期范围内的里程碑和任务。
滚动条位于第 1 行的单元格 B1 到 R1 中，增大日期范围可显示未来的里程碑。
该图表绘制在单元格 B2 到 R3 中。
这是此工作表中的最后一条指示。</t>
  </si>
  <si>
    <t>此工作表的标题位于单元格 B1 中。</t>
  </si>
  <si>
    <t>表格标题位于单元格 B2 和 C2 中。</t>
  </si>
  <si>
    <t>表格标题位于单元格 B3 和 C3 中。这些坐标可让“今天”在图表中突出显示。
第一列标记日期，第二列指示绘制突出显示今天的直线。
第一列日期可能会更改，因此图表日期范围会随着日期前进而保持可读，但是，y 坐标为 0 表示不绘制任何直线。
请勿修改或删除此内容，否则可能破坏图表。若要不再突出显示今天的日期，只需在“图表数据”工作表的单元格 D2 中选择“否”即可。
下一条指示位于单元格 A7 中。</t>
  </si>
  <si>
    <t>表格标题位于单元格 B7 中。
单元格 B8 中的滚动增量表示任何时候在“甘特图”中绘制并直观显示的数据。
滚动“甘特图”工作表中图表顶部的滚动条（第 1 行）时，此数字随之增加。
绘图最适合单一增量。
下一条指示位于单元格 A10 中。</t>
  </si>
  <si>
    <t xml:space="preserve">表格标题位于单元格 B10 和 D10 中。
绘图范围有助于选择适当的任务范围和里程碑范围。请勿修改这些字段。
减时数字，使时效任务始终都可读取范围内的图表，且仅绘制范围内的任务和里程碑。请勿修改此数字。
下一条指示位于单元格 A14 中。
</t>
  </si>
  <si>
    <t>“动态里程碑数据”的表格标题位于单元格 B14 到 E14 中。备注位于单元格 F14 中。
此表在“甘特图”工作表中创建甘特图，一次绘制 7 个里程碑。
此图表中的数据是根据上表中的内容自动生成的。
请勿编辑或删除此表或其内容。
下一条指示位于单元格 A17 中。</t>
  </si>
  <si>
    <t>单元格 G15 到 I15 包含动态里程碑数据的表格标题。
此表中的数据可能显示为空白，日期显示可能不正确，请勿填写、编辑、删除或以其他方式修改此数据，否则可能会覆盖公式和破坏图表绘制功能。
该表允许绘制 15 个里程碑。若要绘制超过 15 个里程碑，只需展开表格容纳数字即可。请记住，仅在“图表数据”工作表中添加里程碑。请勿在此表中添加任何内容。
备注位于单元格 J15 中。
下一条指示位于单元格 A32 中。</t>
  </si>
  <si>
    <t>备注位于单元格 J32 中。
这是此工作表中的最后一条指示。</t>
  </si>
  <si>
    <t>动态图表数据，请勿编辑或删除此工作表！</t>
  </si>
  <si>
    <t>突出显示今天的 x 坐标</t>
  </si>
  <si>
    <t>滚动增量</t>
  </si>
  <si>
    <t>制图范围</t>
  </si>
  <si>
    <t>突出显示</t>
  </si>
  <si>
    <t>y 坐标</t>
  </si>
  <si>
    <t>减时</t>
  </si>
  <si>
    <t>任务持续时间（天）</t>
  </si>
  <si>
    <t>&lt;-- 此表格用于创建甘特图，一次绘制 7 个里程碑</t>
  </si>
  <si>
    <t>里程碑制图</t>
  </si>
  <si>
    <t>基线</t>
  </si>
  <si>
    <t>&lt;-- 此表用于在甘特图中创建里程碑标记，仅绘制所示日期范围内的里程碑；最多绘制 15 个里程碑</t>
  </si>
  <si>
    <t xml:space="preserve">&lt;-- 若要绘制超过 15 个里程碑，只需展开此表，并在“图表数据”工作表的“里程碑”表中输入新条目。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</si>
</sst>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;;;"/>
    <numFmt numFmtId="177" formatCode="#,##0_);\(#,##0\)"/>
  </numFmts>
  <fonts count="12" x14ac:knownFonts="1">
    <font>
      <sz val="11"/>
      <color theme="1"/>
      <name val="Microsoft YaHei UI"/>
      <family val="2"/>
      <charset val="134"/>
    </font>
    <font>
      <b/>
      <sz val="11"/>
      <color theme="3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i/>
      <sz val="10"/>
      <color theme="3"/>
      <name val="Microsoft YaHei UI"/>
      <family val="2"/>
      <charset val="134"/>
    </font>
    <font>
      <b/>
      <sz val="12"/>
      <color theme="5" tint="-0.24994659260841701"/>
      <name val="Microsoft YaHei UI"/>
      <family val="2"/>
      <charset val="134"/>
    </font>
    <font>
      <sz val="11"/>
      <color theme="0"/>
      <name val="Microsoft YaHei UI"/>
      <family val="2"/>
      <charset val="134"/>
    </font>
    <font>
      <sz val="9"/>
      <name val="Microsoft YaHei UI"/>
      <family val="2"/>
      <charset val="134"/>
    </font>
    <font>
      <b/>
      <sz val="11"/>
      <color theme="3"/>
      <name val="Microsoft YaHei UI"/>
      <family val="2"/>
      <charset val="134"/>
    </font>
    <font>
      <b/>
      <sz val="14"/>
      <color theme="5" tint="-0.24994659260841701"/>
      <name val="Microsoft YaHei UI Light"/>
      <family val="2"/>
      <charset val="134"/>
    </font>
    <font>
      <b/>
      <sz val="20"/>
      <color theme="5" tint="-0.499984740745262"/>
      <name val="Microsoft YaHei UI Light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0" fillId="0" borderId="0" applyNumberFormat="0" applyFill="0" applyProtection="0"/>
    <xf numFmtId="0" fontId="6" fillId="0" borderId="0" applyNumberFormat="0" applyFill="0" applyProtection="0">
      <alignment horizontal="right" vertical="center" indent="1"/>
    </xf>
    <xf numFmtId="0" fontId="11" fillId="0" borderId="0" applyNumberFormat="0" applyFill="0" applyProtection="0">
      <alignment vertical="center"/>
    </xf>
    <xf numFmtId="0" fontId="1" fillId="0" borderId="0" applyNumberFormat="0" applyFill="0" applyProtection="0"/>
    <xf numFmtId="0" fontId="5" fillId="0" borderId="0" applyNumberFormat="0" applyFill="0" applyBorder="0" applyProtection="0">
      <alignment wrapText="1"/>
    </xf>
    <xf numFmtId="14" fontId="4" fillId="0" borderId="0" applyFill="0" applyBorder="0">
      <alignment horizontal="center"/>
    </xf>
    <xf numFmtId="177" fontId="2" fillId="0" borderId="0" applyFont="0" applyFill="0" applyBorder="0" applyProtection="0">
      <alignment horizontal="center"/>
    </xf>
  </cellStyleXfs>
  <cellXfs count="25">
    <xf numFmtId="0" fontId="0" fillId="0" borderId="0" xfId="0"/>
    <xf numFmtId="0" fontId="7" fillId="0" borderId="0" xfId="0" applyFont="1"/>
    <xf numFmtId="0" fontId="10" fillId="0" borderId="0" xfId="1"/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applyAlignment="1">
      <alignment wrapText="1"/>
    </xf>
    <xf numFmtId="176" fontId="0" fillId="0" borderId="0" xfId="0" applyNumberFormat="1" applyAlignment="1">
      <alignment wrapText="1"/>
    </xf>
    <xf numFmtId="0" fontId="0" fillId="4" borderId="0" xfId="0" applyFill="1"/>
    <xf numFmtId="176" fontId="0" fillId="0" borderId="0" xfId="0" applyNumberFormat="1"/>
    <xf numFmtId="0" fontId="11" fillId="0" borderId="0" xfId="3">
      <alignment vertical="center"/>
    </xf>
    <xf numFmtId="0" fontId="5" fillId="0" borderId="0" xfId="5">
      <alignment wrapText="1"/>
    </xf>
    <xf numFmtId="0" fontId="0" fillId="2" borderId="0" xfId="0" applyFill="1"/>
    <xf numFmtId="0" fontId="6" fillId="0" borderId="0" xfId="2" applyAlignment="1">
      <alignment horizontal="left" vertical="center" indent="1"/>
    </xf>
    <xf numFmtId="0" fontId="0" fillId="3" borderId="0" xfId="0" applyFill="1"/>
    <xf numFmtId="0" fontId="6" fillId="0" borderId="0" xfId="2" applyAlignment="1">
      <alignment vertical="center"/>
    </xf>
    <xf numFmtId="0" fontId="10" fillId="0" borderId="0" xfId="1" applyAlignment="1">
      <alignment horizontal="left" indent="2"/>
    </xf>
    <xf numFmtId="0" fontId="4" fillId="0" borderId="0" xfId="0" applyFont="1"/>
    <xf numFmtId="0" fontId="4" fillId="0" borderId="0" xfId="0" applyFont="1" applyAlignment="1">
      <alignment horizontal="left" wrapText="1" indent="2"/>
    </xf>
    <xf numFmtId="0" fontId="9" fillId="0" borderId="0" xfId="4" applyFont="1" applyAlignment="1">
      <alignment horizontal="left" indent="2"/>
    </xf>
    <xf numFmtId="0" fontId="9" fillId="0" borderId="0" xfId="4" applyFont="1" applyFill="1" applyAlignment="1">
      <alignment horizontal="left" indent="2"/>
    </xf>
    <xf numFmtId="0" fontId="4" fillId="0" borderId="0" xfId="0" applyFont="1" applyAlignment="1">
      <alignment horizontal="left" indent="2"/>
    </xf>
    <xf numFmtId="14" fontId="0" fillId="0" borderId="0" xfId="6" applyFont="1">
      <alignment horizontal="center"/>
    </xf>
    <xf numFmtId="14" fontId="0" fillId="0" borderId="0" xfId="6" applyFont="1" applyFill="1" applyBorder="1">
      <alignment horizontal="center"/>
    </xf>
    <xf numFmtId="0" fontId="0" fillId="0" borderId="0" xfId="0" applyAlignment="1">
      <alignment horizontal="center"/>
    </xf>
    <xf numFmtId="177" fontId="0" fillId="0" borderId="0" xfId="7" applyNumberFormat="1" applyFont="1">
      <alignment horizontal="center"/>
    </xf>
  </cellXfs>
  <cellStyles count="8">
    <cellStyle name="标题" xfId="3" builtinId="15" customBuiltin="1"/>
    <cellStyle name="标题 1" xfId="1" builtinId="16" customBuiltin="1"/>
    <cellStyle name="标题 2" xfId="2" builtinId="17" customBuiltin="1"/>
    <cellStyle name="标题 3" xfId="4" builtinId="18" customBuiltin="1"/>
    <cellStyle name="常规" xfId="0" builtinId="0" customBuiltin="1"/>
    <cellStyle name="解释性文本" xfId="5" builtinId="53" customBuiltin="1"/>
    <cellStyle name="千位分隔[0]" xfId="7" builtinId="6" customBuiltin="1"/>
    <cellStyle name="日期" xfId="6" xr:uid="{6EB70F65-3733-4804-9FF5-428A9E5C4ABE}"/>
  </cellStyles>
  <dxfs count="54"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77" formatCode="#,##0_);\(#,##0\)"/>
    </dxf>
    <dxf>
      <fill>
        <patternFill>
          <bgColor theme="7" tint="0.79998168889431442"/>
        </patternFill>
      </fill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9" formatCode="yyyy/m/d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UI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</dxf>
    <dxf>
      <fill>
        <patternFill patternType="solid">
          <fgColor theme="5" tint="0.79998168889431442"/>
          <bgColor theme="5" tint="0.79998168889431442"/>
        </patternFill>
      </fill>
    </dxf>
    <dxf>
      <font>
        <color theme="5" tint="-0.499984740745262"/>
      </font>
      <fill>
        <patternFill patternType="solid">
          <fgColor theme="5" tint="0.79995117038483843"/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color theme="5" tint="-0.249977111117893"/>
      </font>
      <border>
        <bottom style="thin">
          <color theme="5" tint="-0.24994659260841701"/>
        </bottom>
      </border>
    </dxf>
    <dxf>
      <font>
        <color theme="5" tint="-0.499984740745262"/>
      </font>
      <border>
        <top style="thin">
          <color theme="5" tint="-0.24994659260841701"/>
        </top>
        <bottom style="thin">
          <color theme="5" tint="-0.24994659260841701"/>
        </bottom>
      </border>
    </dxf>
  </dxfs>
  <tableStyles count="1" defaultPivotStyle="PivotStyleLight16">
    <tableStyle name="日期​​跟踪​​甘特图" pivot="0" count="5" xr9:uid="{FE5A7A51-290B-4843-B986-5E08FCB37B0E}">
      <tableStyleElement type="wholeTable" dxfId="53"/>
      <tableStyleElement type="headerRow" dxfId="52"/>
      <tableStyleElement type="firstColumn" dxfId="51"/>
      <tableStyleElement type="firstRowStripe" dxfId="50"/>
      <tableStyleElement type="firstColumnStripe" dxfId="49"/>
    </tableStyle>
  </tableStyles>
  <colors>
    <mruColors>
      <color rgb="FFE2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customXml" Target="/customXml/item3.xml" Id="rId13" /><Relationship Type="http://schemas.openxmlformats.org/officeDocument/2006/relationships/worksheet" Target="/xl/worksheets/sheet31.xml" Id="rId3" /><Relationship Type="http://schemas.openxmlformats.org/officeDocument/2006/relationships/styles" Target="/xl/styles.xml" Id="rId7" /><Relationship Type="http://schemas.openxmlformats.org/officeDocument/2006/relationships/customXml" Target="/customXml/item22.xml" Id="rId12" /><Relationship Type="http://schemas.openxmlformats.org/officeDocument/2006/relationships/worksheet" Target="/xl/worksheets/sheet22.xml" Id="rId2" /><Relationship Type="http://schemas.openxmlformats.org/officeDocument/2006/relationships/worksheet" Target="/xl/worksheets/sheet13.xml" Id="rId1" /><Relationship Type="http://schemas.openxmlformats.org/officeDocument/2006/relationships/theme" Target="/xl/theme/theme11.xml" Id="rId6" /><Relationship Type="http://schemas.openxmlformats.org/officeDocument/2006/relationships/customXml" Target="/customXml/item13.xml" Id="rId11" /><Relationship Type="http://schemas.openxmlformats.org/officeDocument/2006/relationships/worksheet" Target="/xl/worksheets/sheet54.xml" Id="rId5" /><Relationship Type="http://schemas.openxmlformats.org/officeDocument/2006/relationships/calcChain" Target="/xl/calcChain.xml" Id="rId10" /><Relationship Type="http://schemas.openxmlformats.org/officeDocument/2006/relationships/worksheet" Target="/xl/worksheets/sheet45.xml" Id="rId4" /><Relationship Type="http://schemas.openxmlformats.org/officeDocument/2006/relationships/sheetMetadata" Target="/xl/metadata1.xml" Id="rId9" /></Relationships>
</file>

<file path=xl/charts/_rels/chart11.xml.rels>&#65279;<?xml version="1.0" encoding="utf-8"?><Relationships xmlns="http://schemas.openxmlformats.org/package/2006/relationships"><Relationship Type="http://schemas.microsoft.com/office/2011/relationships/chartColorStyle" Target="/xl/charts/colors1.xml" Id="rId2" /><Relationship Type="http://schemas.microsoft.com/office/2011/relationships/chartStyle" Target="/xl/charts/style1.xml" Id="rId1" /></Relationships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E7B54FE-599B-487B-B86D-AEB6BD30B89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F3-4D6B-A363-E3E4CAC6EE6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D36ECD1-479B-4978-9F52-A0784AA134A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F3-4D6B-A363-E3E4CAC6EE6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0834295-DC95-4237-AB4E-9E7F2FABF74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F3-4D6B-A363-E3E4CAC6EE6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9838D36-6A91-4C68-8525-197EC47D7CE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F3-4D6B-A363-E3E4CAC6EE6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D0E5024-6A7A-4045-9FCB-C273AE2B33A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F3-4D6B-A363-E3E4CAC6EE6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6B71CC2-24D8-4B85-9E73-FEF270890E1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F3-4D6B-A363-E3E4CAC6EE6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E1E08C0-DD19-4DAD-ACA9-FC8D285281D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F3-4D6B-A363-E3E4CAC6EE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Microsoft YaHei UI" panose="020B0503020204020204" pitchFamily="34" charset="-122"/>
                    <a:ea typeface="Microsoft YaHei UI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x"/>
            <c:errBarType val="plus"/>
            <c:errValType val="cust"/>
            <c:noEndCap val="1"/>
            <c:plus>
              <c:numRef>
                <c:f>'动态图表数据（隐藏）'!$D$15:$D$21</c:f>
                <c:numCache>
                  <c:formatCode>General</c:formatCode>
                  <c:ptCount val="7"/>
                  <c:pt idx="0">
                    <c:v>2</c:v>
                  </c:pt>
                  <c:pt idx="1">
                    <c:v>2</c:v>
                  </c:pt>
                  <c:pt idx="2">
                    <c:v>6</c:v>
                  </c:pt>
                  <c:pt idx="3">
                    <c:v>8</c:v>
                  </c:pt>
                  <c:pt idx="4">
                    <c:v>7</c:v>
                  </c:pt>
                  <c:pt idx="5">
                    <c:v>3</c:v>
                  </c:pt>
                  <c:pt idx="6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01600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errBars>
          <c:xVal>
            <c:numRef>
              <c:f>'动态图表数据（隐藏）'!$C$15:$C$21</c:f>
              <c:numCache>
                <c:formatCode>m/d/yyyy</c:formatCode>
                <c:ptCount val="7"/>
                <c:pt idx="0">
                  <c:v>45407</c:v>
                </c:pt>
                <c:pt idx="1">
                  <c:v>45408</c:v>
                </c:pt>
                <c:pt idx="2">
                  <c:v>45408</c:v>
                </c:pt>
                <c:pt idx="3">
                  <c:v>45409</c:v>
                </c:pt>
                <c:pt idx="4">
                  <c:v>45416</c:v>
                </c:pt>
                <c:pt idx="5">
                  <c:v>45420</c:v>
                </c:pt>
                <c:pt idx="6">
                  <c:v>45423</c:v>
                </c:pt>
              </c:numCache>
            </c:numRef>
          </c:xVal>
          <c:yVal>
            <c:numRef>
              <c:f>'动态图表数据（隐藏）'!$E$15:$E$21</c:f>
              <c:numCache>
                <c:formatCode>General</c:formatCode>
                <c:ptCount val="7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'动态图表数据（隐藏）'!$B$15:$B$21</c15:f>
                <c15:dlblRangeCache>
                  <c:ptCount val="7"/>
                  <c:pt idx="0">
                    <c:v>活动 1</c:v>
                  </c:pt>
                  <c:pt idx="1">
                    <c:v>活动 2</c:v>
                  </c:pt>
                  <c:pt idx="2">
                    <c:v>活动 3</c:v>
                  </c:pt>
                  <c:pt idx="3">
                    <c:v>活动 4</c:v>
                  </c:pt>
                  <c:pt idx="4">
                    <c:v>活动 5</c:v>
                  </c:pt>
                  <c:pt idx="5">
                    <c:v>活动 6</c:v>
                  </c:pt>
                  <c:pt idx="6">
                    <c:v>活动 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CCF3-4D6B-A363-E3E4CAC6EE6E}"/>
            </c:ext>
          </c:extLst>
        </c:ser>
        <c:ser>
          <c:idx val="1"/>
          <c:order val="1"/>
          <c:tx>
            <c:strRef>
              <c:f>'动态图表数据（隐藏）'!$B$2</c:f>
              <c:strCache>
                <c:ptCount val="1"/>
                <c:pt idx="0">
                  <c:v>今天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84844D3-2635-4C1B-B750-FE5CE8F6C5CA}" type="CELLRANGE">
                      <a:rPr lang="zh-CN" altLang="en-US">
                        <a:solidFill>
                          <a:srgbClr val="E2DFCC"/>
                        </a:solidFill>
                      </a:rPr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CCF3-4D6B-A363-E3E4CAC6EE6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CCF3-4D6B-A363-E3E4CAC6EE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 UI" panose="020B0503020204020204" pitchFamily="34" charset="-122"/>
                    <a:ea typeface="Microsoft YaHei UI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</c:errBars>
          <c:xVal>
            <c:numRef>
              <c:f>'动态图表数据（隐藏）'!$B$4:$B$5</c:f>
              <c:numCache>
                <c:formatCode>m/d/yyyy</c:formatCode>
                <c:ptCount val="2"/>
                <c:pt idx="0">
                  <c:v>45408</c:v>
                </c:pt>
                <c:pt idx="1">
                  <c:v>45408</c:v>
                </c:pt>
              </c:numCache>
            </c:numRef>
          </c:xVal>
          <c:yVal>
            <c:numRef>
              <c:f>'动态图表数据（隐藏）'!$C$4:$C$5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'动态图表数据（隐藏）'!$B$2</c15:f>
                <c15:dlblRangeCache>
                  <c:ptCount val="1"/>
                  <c:pt idx="0">
                    <c:v>今天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CCF3-4D6B-A363-E3E4CAC6EE6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rnd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48A2346-41E2-4C16-88FC-F0720090AEC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CCF3-4D6B-A363-E3E4CAC6EE6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F4106E1-4432-40C0-95D5-6B71D121A4E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CCF3-4D6B-A363-E3E4CAC6EE6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3BBD509-8C57-470E-80FF-42FEF7F630A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CCF3-4D6B-A363-E3E4CAC6EE6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14F2EAF-C643-4FE8-B7BC-E6B84F602FC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CCF3-4D6B-A363-E3E4CAC6EE6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3D3CEAC-EF3B-476B-ABD1-18021FD319E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CCF3-4D6B-A363-E3E4CAC6EE6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E39B72A-1BD2-47E5-81DF-3C5533CA516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CCF3-4D6B-A363-E3E4CAC6EE6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3D9CC64-2EDA-4429-AE67-DAA150A0449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CCF3-4D6B-A363-E3E4CAC6EE6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E5E4045-45D3-47F3-9225-3DE9998560A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CCF3-4D6B-A363-E3E4CAC6EE6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BE24B98-2C9A-41C5-8B9D-5CC42A80CA6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516-4FC6-AE94-903701FF51C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AE48FDF-E4F9-4B41-8A91-3A56BBB810A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516-4FC6-AE94-903701FF51C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0F28A6A-8F64-420F-AD40-FB4AA146A69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516-4FC6-AE94-903701FF51C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84D303A-33E6-4732-B1CA-D5EB23C9C03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516-4FC6-AE94-903701FF51C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A979848-E1D2-4025-81BB-4E8AE4ABC5E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516-4FC6-AE94-903701FF51C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4910F85-15FB-42A2-B081-44CA686A3C1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516-4FC6-AE94-903701FF51C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A1970AD-19E6-439B-87C6-D6E96E1C78C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516-4FC6-AE94-903701FF51C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A516-4FC6-AE94-903701FF51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Microsoft YaHei UI" panose="020B0503020204020204" pitchFamily="34" charset="-122"/>
                    <a:ea typeface="Microsoft YaHei UI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'动态图表数据（隐藏）'!$H$18:$H$32</c:f>
              <c:numCache>
                <c:formatCode>m/d/yyyy</c:formatCode>
                <c:ptCount val="15"/>
                <c:pt idx="0">
                  <c:v>45417</c:v>
                </c:pt>
                <c:pt idx="1">
                  <c:v>45422</c:v>
                </c:pt>
                <c:pt idx="2">
                  <c:v>45422</c:v>
                </c:pt>
                <c:pt idx="3">
                  <c:v>45422</c:v>
                </c:pt>
                <c:pt idx="4">
                  <c:v>45422</c:v>
                </c:pt>
                <c:pt idx="5">
                  <c:v>45422</c:v>
                </c:pt>
                <c:pt idx="6">
                  <c:v>45422</c:v>
                </c:pt>
                <c:pt idx="7">
                  <c:v>45422</c:v>
                </c:pt>
                <c:pt idx="8">
                  <c:v>45422</c:v>
                </c:pt>
                <c:pt idx="9">
                  <c:v>45422</c:v>
                </c:pt>
                <c:pt idx="10">
                  <c:v>45422</c:v>
                </c:pt>
                <c:pt idx="11">
                  <c:v>45422</c:v>
                </c:pt>
                <c:pt idx="12">
                  <c:v>45422</c:v>
                </c:pt>
                <c:pt idx="13">
                  <c:v>45422</c:v>
                </c:pt>
                <c:pt idx="14">
                  <c:v>45422</c:v>
                </c:pt>
              </c:numCache>
            </c:numRef>
          </c:xVal>
          <c:yVal>
            <c:numRef>
              <c:f>'动态图表数据（隐藏）'!$I$18:$I$33</c:f>
              <c:numCache>
                <c:formatCode>General</c:formatCode>
                <c:ptCount val="1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'动态图表数据（隐藏）'!$G$18:$G$33</c15:f>
                <c15:dlblRangeCache>
                  <c:ptCount val="16"/>
                  <c:pt idx="0">
                    <c:v>里程碑 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7-CCF3-4D6B-A363-E3E4CAC6EE6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04342632"/>
        <c:axId val="604342960"/>
      </c:scatterChart>
      <c:valAx>
        <c:axId val="604342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/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101600" cap="flat" cmpd="sng" algn="ctr">
            <a:solidFill>
              <a:schemeClr val="accent6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accent6"/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endParaRPr lang="zh-CN"/>
          </a:p>
        </c:txPr>
        <c:crossAx val="604342960"/>
        <c:crosses val="autoZero"/>
        <c:crossBetween val="midCat"/>
        <c:majorUnit val="5"/>
      </c:valAx>
      <c:valAx>
        <c:axId val="604342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604342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Microsoft YaHei UI" panose="020B0503020204020204" pitchFamily="34" charset="-122"/>
          <a:ea typeface="Microsoft YaHei UI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charts/chart11.xml" Id="rId1" /></Relationships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</xdr:colOff>
      <xdr:row>0</xdr:row>
      <xdr:rowOff>295276</xdr:rowOff>
    </xdr:from>
    <xdr:to>
      <xdr:col>18</xdr:col>
      <xdr:colOff>9525</xdr:colOff>
      <xdr:row>2</xdr:row>
      <xdr:rowOff>2019300</xdr:rowOff>
    </xdr:to>
    <xdr:graphicFrame macro="">
      <xdr:nvGraphicFramePr>
        <xdr:cNvPr id="5" name="图表 4" descr="此甘特图一次绘制 8 个任务和里程碑，其中使用突出显示的标记跟踪当前日期。图表上方的滚动条允许分页浏览“图表数据”工作表中的所有任务和里程碑。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B1C454-C288-45B2-94F8-38A514974D6C}" name="里程碑" displayName="里程碑" ref="B5:E20" headerRowDxfId="48" dataDxfId="47" totalsRowDxfId="46">
  <autoFilter ref="B5:E20" xr:uid="{E06B7BB2-84B0-4701-96A3-1920CD80CF06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B6:E16">
    <sortCondition ref="D6:D16"/>
  </sortState>
  <tableColumns count="4">
    <tableColumn id="5" xr3:uid="{114C9E6F-5647-4D28-B915-EB9BAEB0DA0B}" name="编号" totalsRowLabel="汇总" dataDxfId="45" totalsRowDxfId="44"/>
    <tableColumn id="3" xr3:uid="{2EB2227F-D85F-4004-8BC5-DEE0E8CC2A93}" name="位置​​" dataDxfId="43" totalsRowDxfId="42"/>
    <tableColumn id="1" xr3:uid="{6E180707-6E70-48F0-B1D1-03AC999F6B82}" name="日期" dataDxfId="41" totalsRowDxfId="40" dataCellStyle="日期"/>
    <tableColumn id="2" xr3:uid="{53D70D33-C6AC-47A5-B1DA-19C54C29A9FB}" name="里程碑" totalsRowFunction="count" dataDxfId="39" totalsRowDxfId="38"/>
  </tableColumns>
  <tableStyleInfo name="日期​​跟踪​​甘特图" showFirstColumn="1" showLastColumn="0" showRowStripes="1" showColumnStripes="0"/>
  <extLst>
    <ext xmlns:x14="http://schemas.microsoft.com/office/spreadsheetml/2009/9/main" uri="{504A1905-F514-4f6f-8877-14C23A59335A}">
      <x14:table altTextSummary="此表包含甘特图中要绘制的里程碑。若要沿时间线而不是在图表中绘制里程碑，请在“编号”列中输入 0。"/>
    </ext>
  </extLst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DCCC90-6A03-4F39-A9BB-582A9958C0EF}" name="任务" displayName="任务" ref="B5:F25" headerRowDxfId="37" dataDxfId="36" totalsRowDxfId="35">
  <autoFilter ref="B5:F25" xr:uid="{22AFF5BD-21AE-4912-A8C2-DAA508F7F469}"/>
  <sortState xmlns:xlrd2="http://schemas.microsoft.com/office/spreadsheetml/2017/richdata2" ref="B6:E25">
    <sortCondition ref="C5:C25"/>
  </sortState>
  <tableColumns count="5">
    <tableColumn id="4" xr3:uid="{8D50EF12-D72C-4368-8326-03E797ADB3CB}" name="编号" totalsRowLabel="汇总" dataDxfId="34" totalsRowDxfId="33"/>
    <tableColumn id="1" xr3:uid="{6CD36057-C64E-48FF-8662-5FD7B4F32BF9}" name="开始日期" dataDxfId="32" totalsRowDxfId="31" dataCellStyle="日期"/>
    <tableColumn id="2" xr3:uid="{96A5962B-4C06-442F-8E89-23604EF5C723}" name="结束日期" dataDxfId="30" totalsRowDxfId="29" dataCellStyle="日期"/>
    <tableColumn id="3" xr3:uid="{16FB4742-B3F6-42FC-9A10-1D5DD112F2D1}" name="任务" dataDxfId="28" totalsRowDxfId="27"/>
    <tableColumn id="5" xr3:uid="{D768AAFA-90E4-428E-833F-D632C9128159}" name="持续时间（天）" totalsRowFunction="count" dataDxfId="0" totalsRowDxfId="26">
      <calculatedColumnFormula>IFERROR(IF(LEN(任务[[#This Row],[开始日期]])=0,"",(INT(任务[[#This Row],[结束日期]])-INT(任务[[#This Row],[开始日期]]))-(INT(任务[[#This Row],[开始日期]])-INT(任务[[#This Row],[开始日期]]))+1),"")</calculatedColumnFormula>
    </tableColumn>
  </tableColumns>
  <tableStyleInfo name="日期​​跟踪​​甘特图"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32DFFE-02B7-4471-8985-080BC03A219D}" name="DynamicTaskData" displayName="DynamicTaskData" ref="B14:E21" totalsRowShown="0" headerRowDxfId="25" dataDxfId="24">
  <autoFilter ref="B14:E21" xr:uid="{45ED1FBB-4F4C-4AC7-936B-6EAE70254C65}">
    <filterColumn colId="0" hiddenButton="1"/>
    <filterColumn colId="1" hiddenButton="1"/>
    <filterColumn colId="2" hiddenButton="1"/>
    <filterColumn colId="3" hiddenButton="1"/>
  </autoFilter>
  <tableColumns count="4">
    <tableColumn id="1" xr3:uid="{74A625E2-A69E-4395-831A-7686CCC538CA}" name="任务" dataDxfId="23">
      <calculatedColumnFormula>IFERROR(IF(LEN(OFFSET(任务!$C6,ScrollingIncrement[滚动增量],0,1,1))=0,"",IF(OR(OFFSET(任务!$D6,ScrollingIncrement[滚动增量],0,1,1)&lt;=$B$12,OFFSET(任务!$C6,ScrollingIncrement[滚动增量],0,1,1)&gt;=($B$11-$D$11)),INDEX(任务[],OFFSET(任务!$B6,ScrollingIncrement[滚动增量],0,1,1),4),"")),"")</calculatedColumnFormula>
    </tableColumn>
    <tableColumn id="2" xr3:uid="{67A68433-98C6-4D8B-B13E-5A174B091BFD}" name="开始日期" dataDxfId="22" dataCellStyle="日期">
      <calculatedColumnFormula>IFERROR(IF(LEN(DynamicTaskData[[#This Row],[任务]])=0,$B$11,INDEX(任务[],OFFSET(任务!$B6,ScrollingIncrement[滚动增量],0,1,1),2)),"")</calculatedColumnFormula>
    </tableColumn>
    <tableColumn id="3" xr3:uid="{F8FBD7F0-C854-4F78-A244-B23F2FFF6E70}" name="任务持续时间（天）" dataDxfId="21">
      <calculatedColumnFormula array="1">IFERROR(IF(LEN(DynamicTaskData[[#This Row],[任务]])=0,0,IF(AND(任务!$C6&lt;=$B$12,任务!$D6&gt;=$B$12),ABS(OFFSET(任务!$C6,ScrollingIncrement[滚动增量],0,1,1)-$B$12)+1,OFFSET(任务!$F6,ScrollingIncrement[滚动增量],0,1,1))),"")</calculatedColumnFormula>
    </tableColumn>
    <tableColumn id="4" xr3:uid="{5A2DA5AB-D865-4B01-B889-2961800BAEFD}" name="位置​​" dataDxfId="20">
      <calculatedColumnFormula>IFERROR(IF(LEN(DynamicTaskData[[#This Row],[任务]])=0,"",ROW($A1)),"")</calculatedColumnFormula>
    </tableColumn>
  </tableColumns>
  <tableStyleInfo name="日期​​跟踪​​甘特图" showFirstColumn="1" showLastColumn="0" showRowStripes="1" showColumnStripes="0"/>
  <extLst>
    <ext xmlns:x14="http://schemas.microsoft.com/office/spreadsheetml/2009/9/main" uri="{504A1905-F514-4f6f-8877-14C23A59335A}">
      <x14:table altTextSummary="此表包含甘特图的条目。此表将根据上面 Scratch 表中的条目自动更新。"/>
    </ext>
  </extLst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441B7F-CD77-4D69-8E7E-DBBDDD14279F}" name="TodayHighlight" displayName="突出显示今天" ref="B3:C5" totalsRowShown="0" headerRowDxfId="19" dataDxfId="18">
  <autoFilter ref="B3:C5" xr:uid="{C74C9E73-4A4C-4834-9227-5225090C02B4}"/>
  <tableColumns count="2">
    <tableColumn id="1" xr3:uid="{C38F7B9B-A971-4488-8015-29B0727A34E7}" name="突出显示今天的 x 坐标" dataDxfId="17">
      <calculatedColumnFormula>IFERROR(IF(TODAY()&lt;MIN(DynamicTaskData[开始日期]),MIN($B$11,MIN(DynamicTaskData[开始日期])),TODAY()),TODAY())</calculatedColumnFormula>
    </tableColumn>
    <tableColumn id="2" xr3:uid="{0976B376-4D30-4099-AE10-A329AAD22F6E}" name="y 坐标" dataDxfId="16">
      <calculatedColumnFormula>IFERROR(IF(跟踪今天="是",IF(TODAY()&lt;MIN(DynamicTaskData[开始日期]),0,9),0),0)</calculatedColumnFormula>
    </tableColumn>
  </tableColumns>
  <tableStyleInfo name="日期​​跟踪​​甘特图" showFirstColumn="1" showLastColumn="0" showRowStripes="1" showColumnStripes="0"/>
  <extLst>
    <ext xmlns:x14="http://schemas.microsoft.com/office/spreadsheetml/2009/9/main" uri="{504A1905-F514-4f6f-8877-14C23A59335A}">
      <x14:table altTextSummary="此表在甘特图中创建一行，用于显示今天在时间线中的相对位置。"/>
    </ext>
  </extLst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FCDDBD-CD08-4F0C-8197-655C2C936E7C}" name="动态里程碑日期" displayName="动态里程碑日期" ref="G17:I32" totalsRowShown="0" headerRowDxfId="15" dataDxfId="14">
  <autoFilter ref="G17:I32" xr:uid="{36CE19C9-41B5-47A8-AAA1-A3D6AC913D8B}">
    <filterColumn colId="0" hiddenButton="1"/>
    <filterColumn colId="1" hiddenButton="1"/>
    <filterColumn colId="2" hiddenButton="1"/>
  </autoFilter>
  <tableColumns count="3">
    <tableColumn id="1" xr3:uid="{B32D10F3-8C97-4D87-8F09-C4C9DB7410B5}" name="里程碑" dataDxfId="13">
      <calculatedColumnFormula>IFERROR(IF(LEN(里程碑!D6)=0,"",IF(AND(里程碑!D6&lt;=$B$12,里程碑!D6&gt;=$B$11-$D$11),里程碑!E6,"")),"")</calculatedColumnFormula>
    </tableColumn>
    <tableColumn id="4" xr3:uid="{08699A2C-FE9E-454E-85A5-61493B3B2502}" name="日期" dataDxfId="12" dataCellStyle="日期">
      <calculatedColumnFormula>IFERROR(IF(LEN(动态里程碑日期[[#This Row],[里程碑]])=0,$B$12,里程碑!$D6),2)</calculatedColumnFormula>
    </tableColumn>
    <tableColumn id="5" xr3:uid="{FF95A456-DC6C-4DEF-A422-1A60C8530445}" name="基线" dataDxfId="11">
      <calculatedColumnFormula>IFERROR(IF(LEN(动态里程碑日期[[#This Row],[里程碑]])=0,"",里程碑!$C6),"")</calculatedColumnFormula>
    </tableColumn>
  </tableColumns>
  <tableStyleInfo name="日期​​跟踪​​甘特图" showFirstColumn="1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206301-033F-458C-8270-AB1B58CF736C}" name="滚动增量" displayName="ScrollingIncrement" ref="B7:B8" totalsRowShown="0" headerRowDxfId="10" dataDxfId="9">
  <autoFilter ref="B7:B8" xr:uid="{EF98147B-BF9A-4D76-A56A-BD910CB7D4BE}">
    <filterColumn colId="0" hiddenButton="1"/>
  </autoFilter>
  <tableColumns count="1">
    <tableColumn id="1" xr3:uid="{F9A5A7B8-7EE1-4D44-B78F-710AFC7920AA}" name="滚动增量" dataDxfId="8"/>
  </tableColumns>
  <tableStyleInfo name="日期​​跟踪​​甘特图" showFirstColumn="1" showLastColumn="0" showRowStripes="1" showColumnStripes="0"/>
  <extLst>
    <ext xmlns:x14="http://schemas.microsoft.com/office/spreadsheetml/2009/9/main" uri="{504A1905-F514-4f6f-8877-14C23A59335A}">
      <x14:table altTextSummary="此表包含“图表数据”工作表中滚动条的滚动增量。数字表示图表中以可视方式呈现的滚动页，此工作表捕获该页面以自动更新数据。"/>
    </ext>
  </extLst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FA05E03-B076-4E71-A71C-74071F60185C}" name="chartingRange" displayName="制图范围" ref="B10:B12" totalsRowShown="0" headerRowDxfId="7" dataDxfId="6">
  <autoFilter ref="B10:B12" xr:uid="{DDE82E12-4FE9-46D1-8EAA-6B89FFED0A50}"/>
  <tableColumns count="1">
    <tableColumn id="1" xr3:uid="{1D49A440-6CFE-4E17-92DB-D396A59981B6}" name="制图范围" dataDxfId="5">
      <calculatedColumnFormula>IFERROR(IF(LEN(#REF!)=0,结束日期+15,MIN(#REF!)+15),TODAY())</calculatedColumnFormula>
    </tableColumn>
  </tableColumns>
  <tableStyleInfo name="日期​​跟踪​​甘特图" showFirstColumn="1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23DB67-B8D9-46C5-923A-01532D552F07}" name="减时" displayName="减时" ref="D10:D11" totalsRowShown="0" headerRowDxfId="4" dataDxfId="3">
  <autoFilter ref="D10:D11" xr:uid="{A497F6DC-1163-4C3D-B959-8F6736298A72}"/>
  <tableColumns count="1">
    <tableColumn id="1" xr3:uid="{D9C67577-58B7-4BF1-9128-CF610F096B3F}" name="减时" dataDxfId="2"/>
  </tableColumns>
  <tableStyleInfo name="日期​​跟踪​​甘特图" showFirstColumn="1" showLastColumn="0" showRowStripes="1" showColumnStripes="0"/>
</table>
</file>

<file path=xl/theme/theme1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3.bin" Id="rId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2.xml" Id="rId2" /><Relationship Type="http://schemas.openxmlformats.org/officeDocument/2006/relationships/printerSettings" Target="/xl/printerSettings/printerSettings22.bin" Id="rId1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1.xml" Id="rId2" /><Relationship Type="http://schemas.openxmlformats.org/officeDocument/2006/relationships/printerSettings" Target="/xl/printerSettings/printerSettings31.bin" Id="rId1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2" /><Relationship Type="http://schemas.openxmlformats.org/officeDocument/2006/relationships/printerSettings" Target="/xl/printerSettings/printerSettings45.bin" Id="rId1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43.xml" Id="rId3" /><Relationship Type="http://schemas.openxmlformats.org/officeDocument/2006/relationships/table" Target="/xl/tables/table84.xml" Id="rId7" /><Relationship Type="http://schemas.openxmlformats.org/officeDocument/2006/relationships/table" Target="/xl/tables/table35.xml" Id="rId2" /><Relationship Type="http://schemas.openxmlformats.org/officeDocument/2006/relationships/printerSettings" Target="/xl/printerSettings/printerSettings54.bin" Id="rId1" /><Relationship Type="http://schemas.openxmlformats.org/officeDocument/2006/relationships/table" Target="/xl/tables/table76.xml" Id="rId6" /><Relationship Type="http://schemas.openxmlformats.org/officeDocument/2006/relationships/table" Target="/xl/tables/table67.xml" Id="rId5" /><Relationship Type="http://schemas.openxmlformats.org/officeDocument/2006/relationships/table" Target="/xl/tables/table58.xml" Id="rId4" /></Relationships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CFDD-EC4B-4303-9E14-A49D2BBA1837}">
  <sheetPr>
    <pageSetUpPr fitToPage="1"/>
  </sheetPr>
  <dimension ref="A1:A11"/>
  <sheetViews>
    <sheetView showGridLines="0" tabSelected="1" workbookViewId="0"/>
  </sheetViews>
  <sheetFormatPr defaultRowHeight="16.5" x14ac:dyDescent="0.3"/>
  <cols>
    <col min="1" max="1" width="80.5546875" style="20" customWidth="1"/>
    <col min="2" max="16384" width="8.88671875" style="16"/>
  </cols>
  <sheetData>
    <row r="1" spans="1:1" ht="50.1" customHeight="1" x14ac:dyDescent="0.35">
      <c r="A1" s="15" t="s">
        <v>0</v>
      </c>
    </row>
    <row r="2" spans="1:1" ht="115.5" x14ac:dyDescent="0.3">
      <c r="A2" s="17" t="s">
        <v>1</v>
      </c>
    </row>
    <row r="3" spans="1:1" x14ac:dyDescent="0.3">
      <c r="A3" s="18" t="s">
        <v>2</v>
      </c>
    </row>
    <row r="4" spans="1:1" ht="247.5" x14ac:dyDescent="0.3">
      <c r="A4" s="17" t="s">
        <v>3</v>
      </c>
    </row>
    <row r="5" spans="1:1" x14ac:dyDescent="0.3">
      <c r="A5" s="18" t="s">
        <v>4</v>
      </c>
    </row>
    <row r="6" spans="1:1" ht="148.5" x14ac:dyDescent="0.3">
      <c r="A6" s="17" t="s">
        <v>5</v>
      </c>
    </row>
    <row r="7" spans="1:1" x14ac:dyDescent="0.3">
      <c r="A7" s="19" t="s">
        <v>6</v>
      </c>
    </row>
    <row r="8" spans="1:1" ht="66" x14ac:dyDescent="0.3">
      <c r="A8" s="17" t="s">
        <v>7</v>
      </c>
    </row>
    <row r="9" spans="1:1" ht="49.5" x14ac:dyDescent="0.3">
      <c r="A9" s="17" t="s">
        <v>8</v>
      </c>
    </row>
    <row r="10" spans="1:1" ht="49.5" x14ac:dyDescent="0.3">
      <c r="A10" s="17" t="s">
        <v>9</v>
      </c>
    </row>
    <row r="11" spans="1:1" x14ac:dyDescent="0.3">
      <c r="A11" s="17" t="s">
        <v>10</v>
      </c>
    </row>
  </sheetData>
  <phoneticPr fontId="8" type="noConversion"/>
  <printOptions horizontalCentered="1"/>
  <pageMargins left="0.7" right="0.7" top="0.75" bottom="0.75" header="0.3" footer="0.3"/>
  <pageSetup paperSize="9" fitToHeight="0" orientation="portrait" horizontalDpi="1200" verticalDpi="1200" r:id="rId1"/>
  <headerFooter differentFirst="1">
    <oddFooter>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F321-794A-47AE-98B5-6FA25ADFEE58}">
  <sheetPr>
    <pageSetUpPr fitToPage="1"/>
  </sheetPr>
  <dimension ref="A1:E26"/>
  <sheetViews>
    <sheetView showGridLines="0" workbookViewId="0"/>
  </sheetViews>
  <sheetFormatPr defaultRowHeight="16.5" x14ac:dyDescent="0.3"/>
  <cols>
    <col min="1" max="1" width="2.88671875" style="8" customWidth="1"/>
    <col min="2" max="2" width="10.88671875" customWidth="1"/>
    <col min="3" max="3" width="12.88671875" customWidth="1"/>
    <col min="4" max="4" width="14.88671875" customWidth="1"/>
    <col min="5" max="5" width="30.88671875" customWidth="1"/>
  </cols>
  <sheetData>
    <row r="1" spans="1:5" ht="50.1" customHeight="1" x14ac:dyDescent="0.3">
      <c r="A1" s="6" t="s">
        <v>11</v>
      </c>
      <c r="B1" s="9" t="s">
        <v>18</v>
      </c>
    </row>
    <row r="2" spans="1:5" ht="18" x14ac:dyDescent="0.3">
      <c r="A2" s="8" t="s">
        <v>12</v>
      </c>
      <c r="B2" s="12" t="s">
        <v>19</v>
      </c>
      <c r="D2" s="13" t="s">
        <v>26</v>
      </c>
    </row>
    <row r="3" spans="1:5" ht="35.1" customHeight="1" x14ac:dyDescent="0.35">
      <c r="A3" s="6" t="s">
        <v>13</v>
      </c>
      <c r="B3" s="2" t="s">
        <v>20</v>
      </c>
      <c r="C3" s="14"/>
    </row>
    <row r="4" spans="1:5" ht="49.5" x14ac:dyDescent="0.35">
      <c r="A4" s="6" t="s">
        <v>14</v>
      </c>
      <c r="B4" s="10" t="s">
        <v>21</v>
      </c>
      <c r="C4" s="10" t="s">
        <v>24</v>
      </c>
      <c r="D4" s="10" t="s">
        <v>27</v>
      </c>
      <c r="E4" s="10" t="s">
        <v>29</v>
      </c>
    </row>
    <row r="5" spans="1:5" x14ac:dyDescent="0.3">
      <c r="A5" s="6" t="s">
        <v>15</v>
      </c>
      <c r="B5" t="s">
        <v>22</v>
      </c>
      <c r="C5" t="s">
        <v>25</v>
      </c>
      <c r="D5" t="s">
        <v>28</v>
      </c>
      <c r="E5" t="s">
        <v>20</v>
      </c>
    </row>
    <row r="6" spans="1:5" x14ac:dyDescent="0.3">
      <c r="A6" s="6"/>
      <c r="B6" s="23">
        <v>1</v>
      </c>
      <c r="C6" s="23">
        <v>1</v>
      </c>
      <c r="D6" s="22">
        <f ca="1">开始日期+10</f>
        <v>45417</v>
      </c>
      <c r="E6" t="s">
        <v>30</v>
      </c>
    </row>
    <row r="7" spans="1:5" x14ac:dyDescent="0.3">
      <c r="B7" s="23">
        <v>2</v>
      </c>
      <c r="C7" s="23">
        <v>1</v>
      </c>
      <c r="D7" s="22">
        <f ca="1">TODAY()+25</f>
        <v>45433</v>
      </c>
      <c r="E7" t="s">
        <v>31</v>
      </c>
    </row>
    <row r="8" spans="1:5" x14ac:dyDescent="0.3">
      <c r="B8" s="23">
        <v>3</v>
      </c>
      <c r="C8" s="23">
        <v>1</v>
      </c>
      <c r="D8" s="22">
        <f ca="1">TODAY()+35</f>
        <v>45443</v>
      </c>
      <c r="E8" t="s">
        <v>32</v>
      </c>
    </row>
    <row r="9" spans="1:5" x14ac:dyDescent="0.3">
      <c r="B9" s="23">
        <v>4</v>
      </c>
      <c r="C9" s="23">
        <v>1</v>
      </c>
      <c r="D9" s="22">
        <f ca="1">TODAY()+45</f>
        <v>45453</v>
      </c>
      <c r="E9" t="s">
        <v>33</v>
      </c>
    </row>
    <row r="10" spans="1:5" x14ac:dyDescent="0.3">
      <c r="B10" s="23">
        <v>5</v>
      </c>
      <c r="C10" s="23">
        <v>1</v>
      </c>
      <c r="D10" s="22">
        <f ca="1">TODAY()+60</f>
        <v>45468</v>
      </c>
      <c r="E10" t="s">
        <v>34</v>
      </c>
    </row>
    <row r="11" spans="1:5" x14ac:dyDescent="0.3">
      <c r="B11" s="23">
        <v>6</v>
      </c>
      <c r="C11" s="23">
        <v>1</v>
      </c>
      <c r="D11" s="22">
        <f ca="1">TODAY()+70</f>
        <v>45478</v>
      </c>
      <c r="E11" t="s">
        <v>35</v>
      </c>
    </row>
    <row r="12" spans="1:5" x14ac:dyDescent="0.3">
      <c r="B12" s="23"/>
      <c r="C12" s="23"/>
      <c r="D12" s="22"/>
    </row>
    <row r="13" spans="1:5" x14ac:dyDescent="0.3">
      <c r="B13" s="23"/>
      <c r="C13" s="23"/>
      <c r="D13" s="22"/>
    </row>
    <row r="14" spans="1:5" x14ac:dyDescent="0.3">
      <c r="B14" s="23"/>
      <c r="C14" s="23"/>
      <c r="D14" s="22"/>
    </row>
    <row r="15" spans="1:5" x14ac:dyDescent="0.3">
      <c r="B15" s="23"/>
      <c r="C15" s="23"/>
      <c r="D15" s="22"/>
    </row>
    <row r="16" spans="1:5" x14ac:dyDescent="0.3">
      <c r="B16" s="23"/>
      <c r="C16" s="23"/>
      <c r="D16" s="22"/>
    </row>
    <row r="17" spans="1:5" x14ac:dyDescent="0.3">
      <c r="B17" s="23"/>
      <c r="C17" s="23"/>
      <c r="D17" s="22"/>
    </row>
    <row r="18" spans="1:5" x14ac:dyDescent="0.3">
      <c r="B18" s="23"/>
      <c r="C18" s="23"/>
      <c r="D18" s="22"/>
    </row>
    <row r="19" spans="1:5" x14ac:dyDescent="0.3">
      <c r="B19" s="23"/>
      <c r="C19" s="23"/>
      <c r="D19" s="22"/>
    </row>
    <row r="20" spans="1:5" x14ac:dyDescent="0.3">
      <c r="B20" s="23"/>
      <c r="C20" s="23"/>
      <c r="D20" s="22"/>
    </row>
    <row r="21" spans="1:5" x14ac:dyDescent="0.3">
      <c r="A21" s="8" t="s">
        <v>16</v>
      </c>
      <c r="B21" s="11" t="s">
        <v>23</v>
      </c>
      <c r="C21" s="11"/>
      <c r="D21" s="11"/>
      <c r="E21" s="11"/>
    </row>
    <row r="26" spans="1:5" x14ac:dyDescent="0.3">
      <c r="A26" s="8" t="s">
        <v>17</v>
      </c>
    </row>
  </sheetData>
  <phoneticPr fontId="8" type="noConversion"/>
  <dataValidations count="1">
    <dataValidation type="list" allowBlank="1" showInputMessage="1" sqref="D2" xr:uid="{5AF61348-CAED-40CF-A570-1ABFD106084D}">
      <formula1>"是,否"</formula1>
    </dataValidation>
  </dataValidations>
  <printOptions horizontalCentered="1"/>
  <pageMargins left="0.7" right="0.7" top="0.75" bottom="0.75" header="0.3" footer="0.3"/>
  <pageSetup paperSize="9" fitToHeight="0" orientation="portrait" horizontalDpi="1200" verticalDpi="1200" r:id="rId1"/>
  <headerFooter differentFirst="1">
    <oddFooter>Page &amp;P of &amp;N</oddFooter>
  </headerFooter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2719-669B-4852-9663-9F93459216C4}">
  <sheetPr>
    <pageSetUpPr fitToPage="1"/>
  </sheetPr>
  <dimension ref="A1:F26"/>
  <sheetViews>
    <sheetView showGridLines="0" workbookViewId="0"/>
  </sheetViews>
  <sheetFormatPr defaultRowHeight="16.5" x14ac:dyDescent="0.3"/>
  <cols>
    <col min="1" max="1" width="2.88671875" customWidth="1"/>
    <col min="2" max="2" width="10.88671875" customWidth="1"/>
    <col min="3" max="3" width="12.88671875" customWidth="1"/>
    <col min="4" max="4" width="14.88671875" customWidth="1"/>
    <col min="5" max="5" width="30.88671875" customWidth="1"/>
    <col min="6" max="6" width="19.44140625" hidden="1" customWidth="1"/>
  </cols>
  <sheetData>
    <row r="1" spans="1:6" ht="50.1" customHeight="1" x14ac:dyDescent="0.3">
      <c r="A1" s="6" t="s">
        <v>11</v>
      </c>
      <c r="B1" s="9" t="s">
        <v>18</v>
      </c>
    </row>
    <row r="3" spans="1:6" ht="35.1" customHeight="1" x14ac:dyDescent="0.35">
      <c r="A3" s="6" t="s">
        <v>13</v>
      </c>
      <c r="B3" s="2" t="s">
        <v>36</v>
      </c>
    </row>
    <row r="4" spans="1:6" ht="82.5" x14ac:dyDescent="0.35">
      <c r="B4" s="10" t="s">
        <v>21</v>
      </c>
      <c r="C4" s="10" t="s">
        <v>38</v>
      </c>
      <c r="D4" s="10" t="s">
        <v>40</v>
      </c>
      <c r="E4" s="10" t="s">
        <v>42</v>
      </c>
      <c r="F4" s="10" t="s">
        <v>55</v>
      </c>
    </row>
    <row r="5" spans="1:6" x14ac:dyDescent="0.3">
      <c r="B5" t="s">
        <v>22</v>
      </c>
      <c r="C5" t="s">
        <v>39</v>
      </c>
      <c r="D5" t="s">
        <v>41</v>
      </c>
      <c r="E5" t="s">
        <v>36</v>
      </c>
      <c r="F5" t="s">
        <v>56</v>
      </c>
    </row>
    <row r="6" spans="1:6" x14ac:dyDescent="0.3">
      <c r="B6" s="23">
        <v>1</v>
      </c>
      <c r="C6" s="22">
        <f ca="1">TODAY()-1</f>
        <v>45407</v>
      </c>
      <c r="D6" s="22">
        <f ca="1">任务[[#This Row],[开始日期]]+1</f>
        <v>45408</v>
      </c>
      <c r="E6" s="5" t="s">
        <v>43</v>
      </c>
      <c r="F6" s="24">
        <f ca="1">IFERROR(IF(LEN(任务[[#This Row],[开始日期]])=0,"",(INT(任务[[#This Row],[结束日期]])-INT(任务[[#This Row],[开始日期]]))-(INT(任务[[#This Row],[开始日期]])-INT(任务[[#This Row],[开始日期]]))+1),"")</f>
        <v>2</v>
      </c>
    </row>
    <row r="7" spans="1:6" x14ac:dyDescent="0.3">
      <c r="B7" s="23">
        <v>2</v>
      </c>
      <c r="C7" s="22">
        <f ca="1">TODAY()</f>
        <v>45408</v>
      </c>
      <c r="D7" s="22">
        <f ca="1">任务[[#This Row],[开始日期]]+1</f>
        <v>45409</v>
      </c>
      <c r="E7" s="5" t="s">
        <v>44</v>
      </c>
      <c r="F7" s="24">
        <f ca="1">IFERROR(IF(LEN(任务[[#This Row],[开始日期]])=0,"",(INT(任务[[#This Row],[结束日期]])-INT(任务[[#This Row],[开始日期]]))-(INT(任务[[#This Row],[开始日期]])-INT(任务[[#This Row],[开始日期]]))+1),"")</f>
        <v>2</v>
      </c>
    </row>
    <row r="8" spans="1:6" x14ac:dyDescent="0.3">
      <c r="B8" s="23">
        <v>3</v>
      </c>
      <c r="C8" s="22">
        <f ca="1">TODAY()</f>
        <v>45408</v>
      </c>
      <c r="D8" s="22">
        <f ca="1">任务[[#This Row],[开始日期]]+5</f>
        <v>45413</v>
      </c>
      <c r="E8" s="5" t="s">
        <v>45</v>
      </c>
      <c r="F8" s="24">
        <f ca="1">IFERROR(IF(LEN(任务[[#This Row],[开始日期]])=0,"",(INT(任务[[#This Row],[结束日期]])-INT(任务[[#This Row],[开始日期]]))-(INT(任务[[#This Row],[开始日期]])-INT(任务[[#This Row],[开始日期]]))+1),"")</f>
        <v>6</v>
      </c>
    </row>
    <row r="9" spans="1:6" x14ac:dyDescent="0.3">
      <c r="B9" s="23">
        <v>4</v>
      </c>
      <c r="C9" s="22">
        <f ca="1">TODAY()+1</f>
        <v>45409</v>
      </c>
      <c r="D9" s="22">
        <f ca="1">任务[[#This Row],[开始日期]]+7</f>
        <v>45416</v>
      </c>
      <c r="E9" s="5" t="s">
        <v>46</v>
      </c>
      <c r="F9" s="24">
        <f ca="1">IFERROR(IF(LEN(任务[[#This Row],[开始日期]])=0,"",(INT(任务[[#This Row],[结束日期]])-INT(任务[[#This Row],[开始日期]]))-(INT(任务[[#This Row],[开始日期]])-INT(任务[[#This Row],[开始日期]]))+1),"")</f>
        <v>8</v>
      </c>
    </row>
    <row r="10" spans="1:6" x14ac:dyDescent="0.3">
      <c r="B10" s="23">
        <v>5</v>
      </c>
      <c r="C10" s="22">
        <f ca="1">TODAY()+8</f>
        <v>45416</v>
      </c>
      <c r="D10" s="22">
        <f ca="1">任务[[#This Row],[开始日期]]+10</f>
        <v>45426</v>
      </c>
      <c r="E10" s="5" t="s">
        <v>47</v>
      </c>
      <c r="F10" s="24">
        <f ca="1">IFERROR(IF(LEN(任务[[#This Row],[开始日期]])=0,"",(INT(任务[[#This Row],[结束日期]])-INT(任务[[#This Row],[开始日期]]))-(INT(任务[[#This Row],[开始日期]])-INT(任务[[#This Row],[开始日期]]))+1),"")</f>
        <v>11</v>
      </c>
    </row>
    <row r="11" spans="1:6" x14ac:dyDescent="0.3">
      <c r="B11" s="23">
        <v>6</v>
      </c>
      <c r="C11" s="22">
        <f ca="1">TODAY()+12</f>
        <v>45420</v>
      </c>
      <c r="D11" s="22">
        <f ca="1">任务[[#This Row],[开始日期]]+30</f>
        <v>45450</v>
      </c>
      <c r="E11" s="5" t="s">
        <v>48</v>
      </c>
      <c r="F11" s="24">
        <f ca="1">IFERROR(IF(LEN(任务[[#This Row],[开始日期]])=0,"",(INT(任务[[#This Row],[结束日期]])-INT(任务[[#This Row],[开始日期]]))-(INT(任务[[#This Row],[开始日期]])-INT(任务[[#This Row],[开始日期]]))+1),"")</f>
        <v>31</v>
      </c>
    </row>
    <row r="12" spans="1:6" x14ac:dyDescent="0.3">
      <c r="B12" s="23">
        <v>7</v>
      </c>
      <c r="C12" s="22">
        <f ca="1">TODAY()+15</f>
        <v>45423</v>
      </c>
      <c r="D12" s="22">
        <f ca="1">任务[[#This Row],[开始日期]]+15</f>
        <v>45438</v>
      </c>
      <c r="E12" s="5" t="s">
        <v>49</v>
      </c>
      <c r="F12" s="24">
        <f ca="1">IFERROR(IF(LEN(任务[[#This Row],[开始日期]])=0,"",(INT(任务[[#This Row],[结束日期]])-INT(任务[[#This Row],[开始日期]]))-(INT(任务[[#This Row],[开始日期]])-INT(任务[[#This Row],[开始日期]]))+1),"")</f>
        <v>16</v>
      </c>
    </row>
    <row r="13" spans="1:6" x14ac:dyDescent="0.3">
      <c r="B13" s="23">
        <v>8</v>
      </c>
      <c r="C13" s="22">
        <f ca="1">TODAY()+25</f>
        <v>45433</v>
      </c>
      <c r="D13" s="22">
        <f ca="1">任务[[#This Row],[开始日期]]+5</f>
        <v>45438</v>
      </c>
      <c r="E13" s="5" t="s">
        <v>50</v>
      </c>
      <c r="F13" s="24">
        <f ca="1">IFERROR(IF(LEN(任务[[#This Row],[开始日期]])=0,"",(INT(任务[[#This Row],[结束日期]])-INT(任务[[#This Row],[开始日期]]))-(INT(任务[[#This Row],[开始日期]])-INT(任务[[#This Row],[开始日期]]))+1),"")</f>
        <v>6</v>
      </c>
    </row>
    <row r="14" spans="1:6" x14ac:dyDescent="0.3">
      <c r="B14" s="23">
        <v>9</v>
      </c>
      <c r="C14" s="22">
        <f ca="1">TODAY()+34</f>
        <v>45442</v>
      </c>
      <c r="D14" s="22">
        <f ca="1">任务[[#This Row],[开始日期]]+2</f>
        <v>45444</v>
      </c>
      <c r="E14" s="5" t="s">
        <v>51</v>
      </c>
      <c r="F14" s="24">
        <f ca="1">IFERROR(IF(LEN(任务[[#This Row],[开始日期]])=0,"",(INT(任务[[#This Row],[结束日期]])-INT(任务[[#This Row],[开始日期]]))-(INT(任务[[#This Row],[开始日期]])-INT(任务[[#This Row],[开始日期]]))+1),"")</f>
        <v>3</v>
      </c>
    </row>
    <row r="15" spans="1:6" x14ac:dyDescent="0.3">
      <c r="B15" s="23">
        <v>10</v>
      </c>
      <c r="C15" s="22">
        <f ca="1">TODAY()+40</f>
        <v>45448</v>
      </c>
      <c r="D15" s="22">
        <f ca="1">任务[[#This Row],[开始日期]]+30</f>
        <v>45478</v>
      </c>
      <c r="E15" s="5" t="s">
        <v>52</v>
      </c>
      <c r="F15" s="24">
        <f ca="1">IFERROR(IF(LEN(任务[[#This Row],[开始日期]])=0,"",(INT(任务[[#This Row],[结束日期]])-INT(任务[[#This Row],[开始日期]]))-(INT(任务[[#This Row],[开始日期]])-INT(任务[[#This Row],[开始日期]]))+1),"")</f>
        <v>31</v>
      </c>
    </row>
    <row r="16" spans="1:6" x14ac:dyDescent="0.3">
      <c r="B16" s="23">
        <v>11</v>
      </c>
      <c r="C16" s="22">
        <f ca="1">TODAY()+42</f>
        <v>45450</v>
      </c>
      <c r="D16" s="22">
        <f ca="1">任务[[#This Row],[开始日期]]+23</f>
        <v>45473</v>
      </c>
      <c r="E16" s="5" t="s">
        <v>53</v>
      </c>
      <c r="F16" s="24">
        <f ca="1">IFERROR(IF(LEN(任务[[#This Row],[开始日期]])=0,"",(INT(任务[[#This Row],[结束日期]])-INT(任务[[#This Row],[开始日期]]))-(INT(任务[[#This Row],[开始日期]])-INT(任务[[#This Row],[开始日期]]))+1),"")</f>
        <v>24</v>
      </c>
    </row>
    <row r="17" spans="2:6" x14ac:dyDescent="0.3">
      <c r="B17" s="23">
        <v>12</v>
      </c>
      <c r="C17" s="22">
        <f ca="1">TODAY()+50</f>
        <v>45458</v>
      </c>
      <c r="D17" s="22">
        <f ca="1">任务[[#This Row],[开始日期]]+5</f>
        <v>45463</v>
      </c>
      <c r="E17" s="5" t="s">
        <v>54</v>
      </c>
      <c r="F17" s="24">
        <f ca="1">IFERROR(IF(LEN(任务[[#This Row],[开始日期]])=0,"",(INT(任务[[#This Row],[结束日期]])-INT(任务[[#This Row],[开始日期]]))-(INT(任务[[#This Row],[开始日期]])-INT(任务[[#This Row],[开始日期]]))+1),"")</f>
        <v>6</v>
      </c>
    </row>
    <row r="18" spans="2:6" x14ac:dyDescent="0.3">
      <c r="B18" s="23"/>
      <c r="C18" s="22"/>
      <c r="D18" s="22"/>
      <c r="E18" s="5"/>
      <c r="F18" s="24" t="str">
        <f>IFERROR(IF(LEN(任务[[#This Row],[开始日期]])=0,"",(INT(任务[[#This Row],[结束日期]])-INT(任务[[#This Row],[开始日期]]))-(INT(任务[[#This Row],[开始日期]])-INT(任务[[#This Row],[开始日期]]))+1),"")</f>
        <v/>
      </c>
    </row>
    <row r="19" spans="2:6" x14ac:dyDescent="0.3">
      <c r="B19" s="23"/>
      <c r="C19" s="22"/>
      <c r="D19" s="22"/>
      <c r="E19" s="5"/>
      <c r="F19" s="24" t="str">
        <f>IFERROR(IF(LEN(任务[[#This Row],[开始日期]])=0,"",(INT(任务[[#This Row],[结束日期]])-INT(任务[[#This Row],[开始日期]]))-(INT(任务[[#This Row],[开始日期]])-INT(任务[[#This Row],[开始日期]]))+1),"")</f>
        <v/>
      </c>
    </row>
    <row r="20" spans="2:6" x14ac:dyDescent="0.3">
      <c r="B20" s="23"/>
      <c r="C20" s="22"/>
      <c r="D20" s="22"/>
      <c r="E20" s="5"/>
      <c r="F20" s="24" t="str">
        <f>IFERROR(IF(LEN(任务[[#This Row],[开始日期]])=0,"",(INT(任务[[#This Row],[结束日期]])-INT(任务[[#This Row],[开始日期]]))-(INT(任务[[#This Row],[开始日期]])-INT(任务[[#This Row],[开始日期]]))+1),"")</f>
        <v/>
      </c>
    </row>
    <row r="21" spans="2:6" x14ac:dyDescent="0.3">
      <c r="B21" s="23"/>
      <c r="C21" s="22"/>
      <c r="D21" s="22"/>
      <c r="E21" s="5"/>
      <c r="F21" s="24" t="str">
        <f>IFERROR(IF(LEN(任务[[#This Row],[开始日期]])=0,"",(INT(任务[[#This Row],[结束日期]])-INT(任务[[#This Row],[开始日期]]))-(INT(任务[[#This Row],[开始日期]])-INT(任务[[#This Row],[开始日期]]))+1),"")</f>
        <v/>
      </c>
    </row>
    <row r="22" spans="2:6" x14ac:dyDescent="0.3">
      <c r="B22" s="23"/>
      <c r="C22" s="22"/>
      <c r="D22" s="22"/>
      <c r="E22" s="5"/>
      <c r="F22" s="24" t="str">
        <f>IFERROR(IF(LEN(任务[[#This Row],[开始日期]])=0,"",(INT(任务[[#This Row],[结束日期]])-INT(任务[[#This Row],[开始日期]]))-(INT(任务[[#This Row],[开始日期]])-INT(任务[[#This Row],[开始日期]]))+1),"")</f>
        <v/>
      </c>
    </row>
    <row r="23" spans="2:6" x14ac:dyDescent="0.3">
      <c r="B23" s="23"/>
      <c r="C23" s="22"/>
      <c r="D23" s="22"/>
      <c r="E23" s="5"/>
      <c r="F23" s="24" t="str">
        <f>IFERROR(IF(LEN(任务[[#This Row],[开始日期]])=0,"",(INT(任务[[#This Row],[结束日期]])-INT(任务[[#This Row],[开始日期]]))-(INT(任务[[#This Row],[开始日期]])-INT(任务[[#This Row],[开始日期]]))+1),"")</f>
        <v/>
      </c>
    </row>
    <row r="24" spans="2:6" x14ac:dyDescent="0.3">
      <c r="B24" s="23"/>
      <c r="C24" s="22"/>
      <c r="D24" s="22"/>
      <c r="E24" s="5"/>
      <c r="F24" s="24" t="str">
        <f>IFERROR(IF(LEN(任务[[#This Row],[开始日期]])=0,"",(INT(任务[[#This Row],[结束日期]])-INT(任务[[#This Row],[开始日期]]))-(INT(任务[[#This Row],[开始日期]])-INT(任务[[#This Row],[开始日期]]))+1),"")</f>
        <v/>
      </c>
    </row>
    <row r="25" spans="2:6" x14ac:dyDescent="0.3">
      <c r="B25" s="23"/>
      <c r="C25" s="22"/>
      <c r="D25" s="22"/>
      <c r="E25" s="5"/>
      <c r="F25" s="24" t="str">
        <f>IFERROR(IF(LEN(任务[[#This Row],[开始日期]])=0,"",(INT(任务[[#This Row],[结束日期]])-INT(任务[[#This Row],[开始日期]]))-(INT(任务[[#This Row],[开始日期]])-INT(任务[[#This Row],[开始日期]]))+1),"")</f>
        <v/>
      </c>
    </row>
    <row r="26" spans="2:6" x14ac:dyDescent="0.3">
      <c r="B26" s="11" t="s">
        <v>37</v>
      </c>
      <c r="C26" s="11"/>
      <c r="D26" s="11"/>
      <c r="E26" s="11"/>
    </row>
  </sheetData>
  <phoneticPr fontId="8" type="noConversion"/>
  <printOptions horizontalCentered="1"/>
  <pageMargins left="0.7" right="0.7" top="0.75" bottom="0.75" header="0.3" footer="0.3"/>
  <pageSetup paperSize="9" fitToHeight="0" orientation="portrait" r:id="rId1"/>
  <headerFooter differentFirst="1">
    <oddFooter>Page &amp;P of &amp;N</oddFooter>
  </headerFooter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1209-2B08-4392-B497-DB73B87283ED}">
  <sheetPr>
    <pageSetUpPr fitToPage="1"/>
  </sheetPr>
  <dimension ref="A1:R3"/>
  <sheetViews>
    <sheetView showGridLines="0" workbookViewId="0"/>
  </sheetViews>
  <sheetFormatPr defaultRowHeight="16.5" x14ac:dyDescent="0.3"/>
  <cols>
    <col min="1" max="1" width="2.88671875" style="8" customWidth="1"/>
    <col min="2" max="2" width="10.44140625" customWidth="1"/>
    <col min="3" max="14" width="6.88671875" customWidth="1"/>
    <col min="15" max="15" width="4.44140625" customWidth="1"/>
  </cols>
  <sheetData>
    <row r="1" spans="1:18" ht="27" customHeight="1" x14ac:dyDescent="0.3">
      <c r="A1" s="6" t="s">
        <v>57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255.75" customHeight="1" x14ac:dyDescent="0.3"/>
    <row r="3" spans="1:18" ht="162.4" customHeight="1" x14ac:dyDescent="0.3"/>
  </sheetData>
  <phoneticPr fontId="8" type="noConversion"/>
  <conditionalFormatting sqref="C2:O2">
    <cfRule type="expression" dxfId="1" priority="4">
      <formula>#REF!&lt;=TODAY()+7</formula>
    </cfRule>
  </conditionalFormatting>
  <printOptions horizontalCentered="1"/>
  <pageMargins left="0.7" right="0.7" top="0.75" bottom="0.75" header="0.3" footer="0.3"/>
  <pageSetup paperSize="9" scale="68" fitToHeight="0" orientation="portrait" horizontalDpi="1200" verticalDpi="1200" r:id="rId1"/>
  <headerFooter differentFirst="1">
    <oddFooter>Page &amp;P of &amp;N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04F8-A182-4E46-AA8E-61DC7E255DF6}">
  <sheetPr>
    <pageSetUpPr fitToPage="1"/>
  </sheetPr>
  <dimension ref="A1:J32"/>
  <sheetViews>
    <sheetView showGridLines="0" workbookViewId="0"/>
  </sheetViews>
  <sheetFormatPr defaultRowHeight="16.5" x14ac:dyDescent="0.3"/>
  <cols>
    <col min="1" max="1" width="2.88671875" style="1" customWidth="1"/>
    <col min="2" max="2" width="50.88671875" customWidth="1"/>
    <col min="3" max="3" width="13.77734375" customWidth="1"/>
    <col min="4" max="4" width="21.77734375" customWidth="1"/>
    <col min="5" max="5" width="15.88671875" customWidth="1"/>
    <col min="6" max="6" width="13.109375" customWidth="1"/>
    <col min="7" max="7" width="50.88671875" customWidth="1"/>
    <col min="8" max="8" width="15.5546875" customWidth="1"/>
    <col min="9" max="9" width="28.109375" customWidth="1"/>
  </cols>
  <sheetData>
    <row r="1" spans="1:7" ht="50.1" customHeight="1" x14ac:dyDescent="0.35">
      <c r="A1" s="1" t="s">
        <v>58</v>
      </c>
      <c r="B1" s="2" t="s">
        <v>66</v>
      </c>
    </row>
    <row r="2" spans="1:7" x14ac:dyDescent="0.3">
      <c r="A2" s="1" t="s">
        <v>59</v>
      </c>
      <c r="B2" s="3" t="str">
        <f ca="1">IF(TODAY()&gt;=MIN(DynamicTaskData[开始日期]),"今天","")</f>
        <v>今天</v>
      </c>
      <c r="C2" t="s">
        <v>70</v>
      </c>
    </row>
    <row r="3" spans="1:7" x14ac:dyDescent="0.3">
      <c r="A3" s="1" t="s">
        <v>60</v>
      </c>
      <c r="B3" t="s">
        <v>67</v>
      </c>
      <c r="C3" t="s">
        <v>71</v>
      </c>
    </row>
    <row r="4" spans="1:7" x14ac:dyDescent="0.3">
      <c r="B4" s="4">
        <f ca="1">IFERROR(IF(TODAY()&lt;MIN(DynamicTaskData[开始日期]),MIN($B$11,MIN(DynamicTaskData[开始日期])),TODAY()),TODAY())</f>
        <v>45408</v>
      </c>
      <c r="C4">
        <f ca="1">IFERROR(IF(跟踪今天="是",IF(TODAY()&lt;MIN(DynamicTaskData[开始日期]),0,9),0),0)</f>
        <v>9</v>
      </c>
    </row>
    <row r="5" spans="1:7" x14ac:dyDescent="0.3">
      <c r="B5" s="4">
        <f ca="1">IFERROR(IF(TODAY()&lt;MIN(DynamicTaskData[开始日期]),MIN($B$11,MIN(DynamicTaskData[开始日期])),TODAY()),TODAY())</f>
        <v>45408</v>
      </c>
      <c r="C5">
        <f ca="1">IFERROR(IF(跟踪今天="是",IF(TODAY()&lt;MIN(DynamicTaskData[开始日期]),0,9),0),0)</f>
        <v>9</v>
      </c>
    </row>
    <row r="7" spans="1:7" x14ac:dyDescent="0.3">
      <c r="A7" s="1" t="s">
        <v>61</v>
      </c>
      <c r="B7" s="3" t="s">
        <v>68</v>
      </c>
    </row>
    <row r="8" spans="1:7" x14ac:dyDescent="0.3">
      <c r="B8" s="3">
        <v>0</v>
      </c>
    </row>
    <row r="9" spans="1:7" x14ac:dyDescent="0.3">
      <c r="B9" s="3"/>
    </row>
    <row r="10" spans="1:7" x14ac:dyDescent="0.3">
      <c r="A10" s="1" t="s">
        <v>62</v>
      </c>
      <c r="B10" t="s">
        <v>69</v>
      </c>
      <c r="D10" t="s">
        <v>72</v>
      </c>
    </row>
    <row r="11" spans="1:7" x14ac:dyDescent="0.3">
      <c r="B11" s="4">
        <f ca="1">IFERROR(IF(ScrollingIncrement[滚动增量]=0,开始日期,IF(开始日期+ScrollingIncrement[滚动增量]*15&lt;结束日期,开始日期+ScrollingIncrement[滚动增量]*15,结束日期-1)),"")</f>
        <v>45407</v>
      </c>
      <c r="D11">
        <v>45</v>
      </c>
    </row>
    <row r="12" spans="1:7" x14ac:dyDescent="0.3">
      <c r="B12" s="4">
        <f ca="1">IFERROR(IF($B$11+15&lt;结束日期,$B$11+15,结束日期),"")</f>
        <v>45422</v>
      </c>
    </row>
    <row r="14" spans="1:7" x14ac:dyDescent="0.3">
      <c r="A14" s="1" t="s">
        <v>63</v>
      </c>
      <c r="B14" t="s">
        <v>36</v>
      </c>
      <c r="C14" t="s">
        <v>39</v>
      </c>
      <c r="D14" t="s">
        <v>73</v>
      </c>
      <c r="E14" t="s">
        <v>25</v>
      </c>
      <c r="F14" t="s">
        <v>74</v>
      </c>
    </row>
    <row r="15" spans="1:7" x14ac:dyDescent="0.3">
      <c r="B15" s="5" t="str">
        <f ca="1">IFERROR(IF(LEN(OFFSET(任务!$C6,ScrollingIncrement[滚动增量],0,1,1))=0,"",IF(OR(OFFSET(任务!$D6,ScrollingIncrement[滚动增量],0,1,1)&lt;=$B$12,OFFSET(任务!$C6,ScrollingIncrement[滚动增量],0,1,1)&gt;=($B$11-$D$11)),INDEX(任务[],OFFSET(任务!$B6,ScrollingIncrement[滚动增量],0,1,1),4),"")),"")</f>
        <v>活动 1</v>
      </c>
      <c r="C15" s="21">
        <f ca="1">IFERROR(IF(LEN(DynamicTaskData[[#This Row],[任务]])=0,$B$11,INDEX(任务[],OFFSET(任务!$B6,ScrollingIncrement[滚动增量],0,1,1),2)),"")</f>
        <v>45407</v>
      </c>
      <c r="D15" cm="1">
        <f t="array" aca="1" ref="D15" ca="1">IFERROR(IF(LEN(DynamicTaskData[[#This Row],[任务]])=0,0,IF(AND(任务!$C6&lt;=$B$12,任务!$D6&gt;=$B$12),ABS(OFFSET(任务!$C6,ScrollingIncrement[滚动增量],0,1,1)-$B$12)+1,OFFSET(任务!$F6,ScrollingIncrement[滚动增量],0,1,1))),"")</f>
        <v>2</v>
      </c>
      <c r="E15">
        <f ca="1">IFERROR(IF(LEN(DynamicTaskData[[#This Row],[任务]])=0,"",8),"")</f>
        <v>8</v>
      </c>
    </row>
    <row r="16" spans="1:7" x14ac:dyDescent="0.3">
      <c r="B16" s="5" t="str">
        <f ca="1">IFERROR(IF(LEN(OFFSET(任务!$C7,ScrollingIncrement[滚动增量],0,1,1))=0,"",IF(OR(OFFSET(任务!$D7,ScrollingIncrement[滚动增量],0,1,1)&lt;=$B$12,OFFSET(任务!$C7,ScrollingIncrement[滚动增量],0,1,1)&gt;=($B$11-$D$11)),INDEX(任务[],OFFSET(任务!$B7,ScrollingIncrement[滚动增量],0,1,1),4),"")),"")</f>
        <v>活动 2</v>
      </c>
      <c r="C16" s="21">
        <f ca="1">IFERROR(IF(LEN(DynamicTaskData[[#This Row],[任务]])=0,$B$11,INDEX(任务[],OFFSET(任务!$B7,ScrollingIncrement[滚动增量],0,1,1),2)),"")</f>
        <v>45408</v>
      </c>
      <c r="D16" cm="1">
        <f t="array" aca="1" ref="D16" ca="1">IFERROR(IF(LEN(DynamicTaskData[[#This Row],[任务]])=0,0,IF(AND(任务!$C7&lt;=$B$12,任务!$D7&gt;=$B$12),ABS(OFFSET(任务!$C7,ScrollingIncrement[滚动增量],0,1,1)-$B$12)+1,OFFSET(任务!$F7,ScrollingIncrement[滚动增量],0,1,1))),"")</f>
        <v>2</v>
      </c>
      <c r="E16">
        <f ca="1">IFERROR(IF(LEN(DynamicTaskData[[#This Row],[任务]])=0,"",7),"")</f>
        <v>7</v>
      </c>
      <c r="G16" t="s">
        <v>75</v>
      </c>
    </row>
    <row r="17" spans="1:10" x14ac:dyDescent="0.3">
      <c r="A17" s="1" t="s">
        <v>64</v>
      </c>
      <c r="B17" s="5" t="str">
        <f ca="1">IFERROR(IF(LEN(OFFSET(任务!$C8,ScrollingIncrement[滚动增量],0,1,1))=0,"",IF(OR(OFFSET(任务!$D8,ScrollingIncrement[滚动增量],0,1,1)&lt;=$B$12,OFFSET(任务!$C8,ScrollingIncrement[滚动增量],0,1,1)&gt;=($B$11-$D$11)),INDEX(任务[],OFFSET(任务!$B8,ScrollingIncrement[滚动增量],0,1,1),4),"")),"")</f>
        <v>活动 3</v>
      </c>
      <c r="C17" s="21">
        <f ca="1">IFERROR(IF(LEN(DynamicTaskData[[#This Row],[任务]])=0,$B$11,INDEX(任务[],OFFSET(任务!$B8,ScrollingIncrement[滚动增量],0,1,1),2)),"")</f>
        <v>45408</v>
      </c>
      <c r="D17" cm="1">
        <f t="array" aca="1" ref="D17" ca="1">IFERROR(IF(LEN(DynamicTaskData[[#This Row],[任务]])=0,0,IF(AND(任务!$C8&lt;=$B$12,任务!$D8&gt;=$B$12),ABS(OFFSET(任务!$C8,ScrollingIncrement[滚动增量],0,1,1)-$B$12)+1,OFFSET(任务!$F8,ScrollingIncrement[滚动增量],0,1,1))),"")</f>
        <v>6</v>
      </c>
      <c r="E17">
        <f ca="1">IFERROR(IF(LEN(DynamicTaskData[[#This Row],[任务]])=0,"",6),"")</f>
        <v>6</v>
      </c>
      <c r="G17" t="s">
        <v>20</v>
      </c>
      <c r="H17" t="s">
        <v>28</v>
      </c>
      <c r="I17" t="s">
        <v>76</v>
      </c>
      <c r="J17" t="s">
        <v>77</v>
      </c>
    </row>
    <row r="18" spans="1:10" x14ac:dyDescent="0.3">
      <c r="B18" s="5" t="str">
        <f ca="1">IFERROR(IF(LEN(OFFSET(任务!$C9,ScrollingIncrement[滚动增量],0,1,1))=0,"",IF(OR(OFFSET(任务!$D9,ScrollingIncrement[滚动增量],0,1,1)&lt;=$B$12,OFFSET(任务!$C9,ScrollingIncrement[滚动增量],0,1,1)&gt;=($B$11-$D$11)),INDEX(任务[],OFFSET(任务!$B9,ScrollingIncrement[滚动增量],0,1,1),4),"")),"")</f>
        <v>活动 4</v>
      </c>
      <c r="C18" s="21">
        <f ca="1">IFERROR(IF(LEN(DynamicTaskData[[#This Row],[任务]])=0,$B$11,INDEX(任务[],OFFSET(任务!$B9,ScrollingIncrement[滚动增量],0,1,1),2)),"")</f>
        <v>45409</v>
      </c>
      <c r="D18" cm="1">
        <f t="array" aca="1" ref="D18" ca="1">IFERROR(IF(LEN(DynamicTaskData[[#This Row],[任务]])=0,0,IF(AND(任务!$C9&lt;=$B$12,任务!$D9&gt;=$B$12),ABS(OFFSET(任务!$C9,ScrollingIncrement[滚动增量],0,1,1)-$B$12)+1,OFFSET(任务!$F9,ScrollingIncrement[滚动增量],0,1,1))),"")</f>
        <v>8</v>
      </c>
      <c r="E18">
        <f ca="1">IFERROR(IF(LEN(DynamicTaskData[[#This Row],[任务]])=0,"",5),"")</f>
        <v>5</v>
      </c>
      <c r="G18" s="5" t="str">
        <f ca="1">IFERROR(IF(LEN(里程碑!D6)=0,"",IF(AND(里程碑!D6&lt;=$B$12,里程碑!D6&gt;=$B$11-$D$11),里程碑!E6,"")),"")</f>
        <v>里程碑 1</v>
      </c>
      <c r="H18" s="22">
        <f ca="1">IFERROR(IF(LEN(动态里程碑日期[[#This Row],[里程碑]])=0,$B$12,里程碑!$D6),2)</f>
        <v>45417</v>
      </c>
      <c r="I18">
        <f ca="1">IFERROR(IF(LEN(动态里程碑日期[[#This Row],[里程碑]])=0,"",里程碑!$C6),"")</f>
        <v>1</v>
      </c>
    </row>
    <row r="19" spans="1:10" x14ac:dyDescent="0.3">
      <c r="B19" s="5" t="str">
        <f ca="1">IFERROR(IF(LEN(OFFSET(任务!$C10,ScrollingIncrement[滚动增量],0,1,1))=0,"",IF(OR(OFFSET(任务!$D10,ScrollingIncrement[滚动增量],0,1,1)&lt;=$B$12,OFFSET(任务!$C10,ScrollingIncrement[滚动增量],0,1,1)&gt;=($B$11-$D$11)),INDEX(任务[],OFFSET(任务!$B10,ScrollingIncrement[滚动增量],0,1,1),4),"")),"")</f>
        <v>活动 5</v>
      </c>
      <c r="C19" s="21">
        <f ca="1">IFERROR(IF(LEN(DynamicTaskData[[#This Row],[任务]])=0,$B$11,INDEX(任务[],OFFSET(任务!$B10,ScrollingIncrement[滚动增量],0,1,1),2)),"")</f>
        <v>45416</v>
      </c>
      <c r="D19" cm="1">
        <f t="array" aca="1" ref="D19" ca="1">IFERROR(IF(LEN(DynamicTaskData[[#This Row],[任务]])=0,0,IF(AND(任务!$C10&lt;=$B$12,任务!$D10&gt;=$B$12),ABS(OFFSET(任务!$C10,ScrollingIncrement[滚动增量],0,1,1)-$B$12)+1,OFFSET(任务!$F10,ScrollingIncrement[滚动增量],0,1,1))),"")</f>
        <v>7</v>
      </c>
      <c r="E19">
        <f ca="1">IFERROR(IF(LEN(DynamicTaskData[[#This Row],[任务]])=0,"",4),"")</f>
        <v>4</v>
      </c>
      <c r="G19" s="5" t="str">
        <f ca="1">IFERROR(IF(LEN(里程碑!D7)=0,"",IF(AND(里程碑!D7&lt;=$B$12,里程碑!D7&gt;=$B$11-$D$11),里程碑!E7,"")),"")</f>
        <v/>
      </c>
      <c r="H19" s="22">
        <f ca="1">IFERROR(IF(LEN(动态里程碑日期[[#This Row],[里程碑]])=0,$B$12,里程碑!$D7),2)</f>
        <v>45422</v>
      </c>
      <c r="I19" t="str">
        <f ca="1">IFERROR(IF(LEN(动态里程碑日期[[#This Row],[里程碑]])=0,"",里程碑!$C7),"")</f>
        <v/>
      </c>
    </row>
    <row r="20" spans="1:10" x14ac:dyDescent="0.3">
      <c r="B20" s="5" t="str">
        <f ca="1">IFERROR(IF(LEN(OFFSET(任务!$C11,ScrollingIncrement[滚动增量],0,1,1))=0,"",IF(OR(OFFSET(任务!$D11,ScrollingIncrement[滚动增量],0,1,1)&lt;=$B$12,OFFSET(任务!$C11,ScrollingIncrement[滚动增量],0,1,1)&gt;=($B$11-$D$11)),INDEX(任务[],OFFSET(任务!$B11,ScrollingIncrement[滚动增量],0,1,1),4),"")),"")</f>
        <v>活动 6</v>
      </c>
      <c r="C20" s="21">
        <f ca="1">IFERROR(IF(LEN(DynamicTaskData[[#This Row],[任务]])=0,$B$11,INDEX(任务[],OFFSET(任务!$B11,ScrollingIncrement[滚动增量],0,1,1),2)),"")</f>
        <v>45420</v>
      </c>
      <c r="D20" cm="1">
        <f t="array" aca="1" ref="D20" ca="1">IFERROR(IF(LEN(DynamicTaskData[[#This Row],[任务]])=0,0,IF(AND(任务!$C11&lt;=$B$12,任务!$D11&gt;=$B$12),ABS(OFFSET(任务!$C11,ScrollingIncrement[滚动增量],0,1,1)-$B$12)+1,OFFSET(任务!$F11,ScrollingIncrement[滚动增量],0,1,1))),"")</f>
        <v>3</v>
      </c>
      <c r="E20">
        <f ca="1">IFERROR(IF(LEN(DynamicTaskData[[#This Row],[任务]])=0,"",3),"")</f>
        <v>3</v>
      </c>
      <c r="G20" s="5" t="str">
        <f ca="1">IFERROR(IF(LEN(里程碑!D8)=0,"",IF(AND(里程碑!D8&lt;=$B$12,里程碑!D8&gt;=$B$11-$D$11),里程碑!E8,"")),"")</f>
        <v/>
      </c>
      <c r="H20" s="22">
        <f ca="1">IFERROR(IF(LEN(动态里程碑日期[[#This Row],[里程碑]])=0,$B$12,里程碑!$D8),2)</f>
        <v>45422</v>
      </c>
      <c r="I20" t="str">
        <f ca="1">IFERROR(IF(LEN(动态里程碑日期[[#This Row],[里程碑]])=0,"",里程碑!$C8),"")</f>
        <v/>
      </c>
    </row>
    <row r="21" spans="1:10" x14ac:dyDescent="0.3">
      <c r="B21" s="5" t="str">
        <f ca="1">IFERROR(IF(LEN(OFFSET(任务!$C12,ScrollingIncrement[滚动增量],0,1,1))=0,"",IF(OR(OFFSET(任务!$D12,ScrollingIncrement[滚动增量],0,1,1)&lt;=$B$12,OFFSET(任务!$C12,ScrollingIncrement[滚动增量],0,1,1)&gt;=($B$11-$D$11)),INDEX(任务[],OFFSET(任务!$B12,ScrollingIncrement[滚动增量],0,1,1),4),"")),"")</f>
        <v>活动 7</v>
      </c>
      <c r="C21" s="21">
        <f ca="1">IFERROR(IF(LEN(DynamicTaskData[[#This Row],[任务]])=0,$B$11,INDEX(任务[],OFFSET(任务!$B12,ScrollingIncrement[滚动增量],0,1,1),2)),"")</f>
        <v>45423</v>
      </c>
      <c r="D21" cm="1">
        <f t="array" aca="1" ref="D21" ca="1">IFERROR(IF(LEN(DynamicTaskData[[#This Row],[任务]])=0,0,IF(AND(任务!$C12&lt;=$B$12,任务!$D12&gt;=$B$12),ABS(OFFSET(任务!$C12,ScrollingIncrement[滚动增量],0,1,1)-$B$12)+1,OFFSET(任务!$F12,ScrollingIncrement[滚动增量],0,1,1))),"")</f>
        <v>16</v>
      </c>
      <c r="E21">
        <f ca="1">IFERROR(IF(LEN(DynamicTaskData[[#This Row],[任务]])=0,"",2),"")</f>
        <v>2</v>
      </c>
      <c r="G21" s="5" t="str">
        <f ca="1">IFERROR(IF(LEN(里程碑!D9)=0,"",IF(AND(里程碑!D9&lt;=$B$12,里程碑!D9&gt;=$B$11-$D$11),里程碑!E9,"")),"")</f>
        <v/>
      </c>
      <c r="H21" s="22">
        <f ca="1">IFERROR(IF(LEN(动态里程碑日期[[#This Row],[里程碑]])=0,$B$12,里程碑!$D9),2)</f>
        <v>45422</v>
      </c>
      <c r="I21" t="str">
        <f ca="1">IFERROR(IF(LEN(动态里程碑日期[[#This Row],[里程碑]])=0,"",里程碑!$C9),"")</f>
        <v/>
      </c>
    </row>
    <row r="22" spans="1:10" x14ac:dyDescent="0.3">
      <c r="G22" s="5" t="str">
        <f ca="1">IFERROR(IF(LEN(里程碑!D10)=0,"",IF(AND(里程碑!D10&lt;=$B$12,里程碑!D10&gt;=$B$11-$D$11),里程碑!E10,"")),"")</f>
        <v/>
      </c>
      <c r="H22" s="22">
        <f ca="1">IFERROR(IF(LEN(动态里程碑日期[[#This Row],[里程碑]])=0,$B$12,里程碑!$D10),2)</f>
        <v>45422</v>
      </c>
      <c r="I22" t="str">
        <f ca="1">IFERROR(IF(LEN(动态里程碑日期[[#This Row],[里程碑]])=0,"",里程碑!$C10),"")</f>
        <v/>
      </c>
    </row>
    <row r="23" spans="1:10" x14ac:dyDescent="0.3">
      <c r="G23" s="5" t="str">
        <f ca="1">IFERROR(IF(LEN(里程碑!D11)=0,"",IF(AND(里程碑!D11&lt;=$B$12,里程碑!D11&gt;=$B$11-$D$11),里程碑!E11,"")),"")</f>
        <v/>
      </c>
      <c r="H23" s="22">
        <f ca="1">IFERROR(IF(LEN(动态里程碑日期[[#This Row],[里程碑]])=0,$B$12,里程碑!$D11),2)</f>
        <v>45422</v>
      </c>
      <c r="I23" t="str">
        <f ca="1">IFERROR(IF(LEN(动态里程碑日期[[#This Row],[里程碑]])=0,"",里程碑!$C11),"")</f>
        <v/>
      </c>
    </row>
    <row r="24" spans="1:10" x14ac:dyDescent="0.3">
      <c r="G24" s="5" t="str">
        <f>IFERROR(IF(LEN(里程碑!D12)=0,"",IF(AND(里程碑!D12&lt;=$B$12,里程碑!D12&gt;=$B$11-$D$11),里程碑!E12,"")),"")</f>
        <v/>
      </c>
      <c r="H24" s="22">
        <f ca="1">IFERROR(IF(LEN(动态里程碑日期[[#This Row],[里程碑]])=0,$B$12,里程碑!$D12),2)</f>
        <v>45422</v>
      </c>
      <c r="I24" t="str">
        <f>IFERROR(IF(LEN(动态里程碑日期[[#This Row],[里程碑]])=0,"",里程碑!$C12),"")</f>
        <v/>
      </c>
    </row>
    <row r="25" spans="1:10" x14ac:dyDescent="0.3">
      <c r="G25" s="5" t="str">
        <f>IFERROR(IF(LEN(里程碑!D13)=0,"",IF(AND(里程碑!D13&lt;=$B$12,里程碑!D13&gt;=$B$11-$D$11),里程碑!E13,"")),"")</f>
        <v/>
      </c>
      <c r="H25" s="22">
        <f ca="1">IFERROR(IF(LEN(动态里程碑日期[[#This Row],[里程碑]])=0,$B$12,里程碑!$D13),2)</f>
        <v>45422</v>
      </c>
      <c r="I25" t="str">
        <f>IFERROR(IF(LEN(动态里程碑日期[[#This Row],[里程碑]])=0,"",里程碑!$C13),"")</f>
        <v/>
      </c>
    </row>
    <row r="26" spans="1:10" x14ac:dyDescent="0.3">
      <c r="G26" s="5" t="str">
        <f>IFERROR(IF(LEN(里程碑!D14)=0,"",IF(AND(里程碑!D14&lt;=$B$12,里程碑!D14&gt;=$B$11-$D$11),里程碑!E14,"")),"")</f>
        <v/>
      </c>
      <c r="H26" s="22">
        <f ca="1">IFERROR(IF(LEN(动态里程碑日期[[#This Row],[里程碑]])=0,$B$12,里程碑!$D14),2)</f>
        <v>45422</v>
      </c>
      <c r="I26" t="str">
        <f>IFERROR(IF(LEN(动态里程碑日期[[#This Row],[里程碑]])=0,"",里程碑!$C14),"")</f>
        <v/>
      </c>
    </row>
    <row r="27" spans="1:10" x14ac:dyDescent="0.3">
      <c r="G27" s="5" t="str">
        <f>IFERROR(IF(LEN(里程碑!D15)=0,"",IF(AND(里程碑!D15&lt;=$B$12,里程碑!D15&gt;=$B$11-$D$11),里程碑!E15,"")),"")</f>
        <v/>
      </c>
      <c r="H27" s="22">
        <f ca="1">IFERROR(IF(LEN(动态里程碑日期[[#This Row],[里程碑]])=0,$B$12,里程碑!$D15),2)</f>
        <v>45422</v>
      </c>
      <c r="I27" t="str">
        <f>IFERROR(IF(LEN(动态里程碑日期[[#This Row],[里程碑]])=0,"",里程碑!$C15),"")</f>
        <v/>
      </c>
    </row>
    <row r="28" spans="1:10" x14ac:dyDescent="0.3">
      <c r="G28" s="5" t="str">
        <f>IFERROR(IF(LEN(里程碑!D16)=0,"",IF(AND(里程碑!D16&lt;=$B$12,里程碑!D16&gt;=$B$11-$D$11),里程碑!E16,"")),"")</f>
        <v/>
      </c>
      <c r="H28" s="22">
        <f ca="1">IFERROR(IF(LEN(动态里程碑日期[[#This Row],[里程碑]])=0,$B$12,里程碑!$D16),2)</f>
        <v>45422</v>
      </c>
      <c r="I28" t="str">
        <f>IFERROR(IF(LEN(动态里程碑日期[[#This Row],[里程碑]])=0,"",里程碑!$C16),"")</f>
        <v/>
      </c>
    </row>
    <row r="29" spans="1:10" x14ac:dyDescent="0.3">
      <c r="G29" s="5" t="str">
        <f>IFERROR(IF(LEN(里程碑!D17)=0,"",IF(AND(里程碑!D17&lt;=$B$12,里程碑!D17&gt;=$B$11-$D$11),里程碑!E17,"")),"")</f>
        <v/>
      </c>
      <c r="H29" s="22">
        <f ca="1">IFERROR(IF(LEN(动态里程碑日期[[#This Row],[里程碑]])=0,$B$12,里程碑!$D17),2)</f>
        <v>45422</v>
      </c>
      <c r="I29" t="str">
        <f>IFERROR(IF(LEN(动态里程碑日期[[#This Row],[里程碑]])=0,"",里程碑!$C17),"")</f>
        <v/>
      </c>
    </row>
    <row r="30" spans="1:10" x14ac:dyDescent="0.3">
      <c r="G30" s="5" t="str">
        <f>IFERROR(IF(LEN(里程碑!D18)=0,"",IF(AND(里程碑!D18&lt;=$B$12,里程碑!D18&gt;=$B$11-$D$11),里程碑!E18,"")),"")</f>
        <v/>
      </c>
      <c r="H30" s="22">
        <f ca="1">IFERROR(IF(LEN(动态里程碑日期[[#This Row],[里程碑]])=0,$B$12,里程碑!$D18),2)</f>
        <v>45422</v>
      </c>
      <c r="I30" t="str">
        <f>IFERROR(IF(LEN(动态里程碑日期[[#This Row],[里程碑]])=0,"",里程碑!$C18),"")</f>
        <v/>
      </c>
    </row>
    <row r="31" spans="1:10" x14ac:dyDescent="0.3">
      <c r="G31" s="5" t="str">
        <f>IFERROR(IF(LEN(里程碑!D19)=0,"",IF(AND(里程碑!D19&lt;=$B$12,里程碑!D19&gt;=$B$11-$D$11),里程碑!E19,"")),"")</f>
        <v/>
      </c>
      <c r="H31" s="22">
        <f ca="1">IFERROR(IF(LEN(动态里程碑日期[[#This Row],[里程碑]])=0,$B$12,里程碑!$D19),2)</f>
        <v>45422</v>
      </c>
      <c r="I31" t="str">
        <f>IFERROR(IF(LEN(动态里程碑日期[[#This Row],[里程碑]])=0,"",里程碑!$C19),"")</f>
        <v/>
      </c>
    </row>
    <row r="32" spans="1:10" x14ac:dyDescent="0.3">
      <c r="A32" s="1" t="s">
        <v>65</v>
      </c>
      <c r="G32" s="5" t="str">
        <f>IFERROR(IF(LEN(里程碑!D20)=0,"",IF(AND(里程碑!D20&lt;=$B$12,里程碑!D20&gt;=$B$11-$D$11),里程碑!E20,"")),"")</f>
        <v/>
      </c>
      <c r="H32" s="22">
        <f ca="1">IFERROR(IF(LEN(动态里程碑日期[[#This Row],[里程碑]])=0,$B$12,里程碑!$D20),2)</f>
        <v>45422</v>
      </c>
      <c r="I32" t="str">
        <f>IFERROR(IF(LEN(动态里程碑日期[[#This Row],[里程碑]])=0,"",里程碑!$C20),"")</f>
        <v/>
      </c>
      <c r="J32" t="s">
        <v>78</v>
      </c>
    </row>
  </sheetData>
  <phoneticPr fontId="3" type="noConversion"/>
  <printOptions horizontalCentered="1"/>
  <pageMargins left="0.7" right="0.7" top="0.75" bottom="0.75" header="0.3" footer="0.3"/>
  <pageSetup paperSize="9" scale="25" fitToHeight="0" orientation="portrait" horizontalDpi="1200" verticalDpi="1200" r:id="rId1"/>
  <headerFooter differentFirst="1">
    <oddFooter>Page &amp;P of &amp;N</oddFooter>
  </headerFooter>
  <ignoredErrors>
    <ignoredError sqref="B12 E15:E21" calculatedColumn="1"/>
  </ignoredErrors>
  <tableParts count="6">
    <tablePart r:id="rId2"/>
    <tablePart r:id="rId3"/>
    <tablePart r:id="rId4"/>
    <tablePart r:id="rId5"/>
    <tablePart r:id="rId6"/>
    <tablePart r:id="rId7"/>
  </tableParts>
</worksheet>
</file>

<file path=customXml/_rels/item3.xml.rels>&#65279;<?xml version="1.0" encoding="utf-8"?><Relationships xmlns="http://schemas.openxmlformats.org/package/2006/relationships"><Relationship Type="http://schemas.openxmlformats.org/officeDocument/2006/relationships/customXmlProps" Target="/customXml/itemProps31.xml" Id="rId1" /></Relationships>
</file>

<file path=customXml/_rels/item13.xml.rels>&#65279;<?xml version="1.0" encoding="utf-8"?><Relationships xmlns="http://schemas.openxmlformats.org/package/2006/relationships"><Relationship Type="http://schemas.openxmlformats.org/officeDocument/2006/relationships/customXmlProps" Target="/customXml/itemProps13.xml" Id="rId1" /></Relationships>
</file>

<file path=customXml/_rels/item22.xml.rels>&#65279;<?xml version="1.0" encoding="utf-8"?><Relationships xmlns="http://schemas.openxmlformats.org/package/2006/relationships"><Relationship Type="http://schemas.openxmlformats.org/officeDocument/2006/relationships/customXmlProps" Target="/customXml/itemProps22.xml" Id="rId1" /></Relationship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3.xml><?xml version="1.0" encoding="utf-8"?>
<ds:datastoreItem xmlns:ds="http://schemas.openxmlformats.org/officeDocument/2006/customXml" ds:itemID="{5B8C2C39-6C63-4DAC-A581-642896D508D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2.xml><?xml version="1.0" encoding="utf-8"?>
<ds:datastoreItem xmlns:ds="http://schemas.openxmlformats.org/officeDocument/2006/customXml" ds:itemID="{FDF417C6-B3F7-4801-B644-8A675B87291C}">
  <ds:schemaRefs>
    <ds:schemaRef ds:uri="http://schemas.microsoft.com/sharepoint/v3/contenttype/forms"/>
  </ds:schemaRefs>
</ds:datastoreItem>
</file>

<file path=customXml/itemProps31.xml><?xml version="1.0" encoding="utf-8"?>
<ds:datastoreItem xmlns:ds="http://schemas.openxmlformats.org/officeDocument/2006/customXml" ds:itemID="{4E409AAC-1DBD-40ED-8B52-D43EC16B40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ap:Properties xmlns:vt="http://schemas.openxmlformats.org/officeDocument/2006/docPropsVTypes" xmlns:ap="http://schemas.openxmlformats.org/officeDocument/2006/extended-properties">
  <ap:Template>TM56185482</ap:Template>
  <ap:DocSecurity>0</ap:DocSecurity>
  <ap:ScaleCrop>false</ap:ScaleCrop>
  <ap:HeadingPairs>
    <vt:vector baseType="variant" size="4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ap:HeadingPairs>
  <ap:TitlesOfParts>
    <vt:vector baseType="lpstr" size="6">
      <vt:lpstr>简介</vt:lpstr>
      <vt:lpstr>里程碑</vt:lpstr>
      <vt:lpstr>任务</vt:lpstr>
      <vt:lpstr>甘特图</vt:lpstr>
      <vt:lpstr>动态图表数据（隐藏）</vt:lpstr>
      <vt:lpstr>跟踪今天</vt:lpstr>
    </vt:vector>
  </ap:TitlesOfParts>
  <ap:Manager/>
  <ap:Company/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dcterms:created xsi:type="dcterms:W3CDTF">2024-01-10T06:43:06Z</dcterms:created>
  <dcterms:modified xsi:type="dcterms:W3CDTF">2024-04-26T08:42:32Z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