
<file path=[Content_Types].xml><?xml version="1.0" encoding="utf-8"?>
<Types xmlns="http://schemas.openxmlformats.org/package/2006/content-types">
  <Default Extension="xml" ContentType="application/vnd.openxmlformats-package.core-properties+xml"/>
  <Default Extension="rels" ContentType="application/vnd.openxmlformats-package.relationships+xml"/>
  <Default Extension="svg" ContentType="image/svg+xml"/>
  <Default Extension="png" ContentType="image/png"/>
  <Default Extension="bin" ContentType="application/vnd.openxmlformats-officedocument.spreadsheetml.printerSettings"/>
  <Override PartName="/docMetadata/LabelInfo.xml" ContentType="application/vnd.ms-office.classificationlabels+xml"/>
  <Override PartName="/xl/workbook.xml" ContentType="application/vnd.openxmlformats-officedocument.spreadsheetml.sheet.main+xml"/>
  <Override PartName="/customXml/item3.xml" ContentType="application/xml"/>
  <Override PartName="/customXml/itemProps31.xml" ContentType="application/vnd.openxmlformats-officedocument.customXmlProperties+xml"/>
  <Override PartName="/xl/styles.xml" ContentType="application/vnd.openxmlformats-officedocument.spreadsheetml.styles+xml"/>
  <Override PartName="/customXml/item22.xml" ContentType="application/xml"/>
  <Override PartName="/customXml/itemProps22.xml" ContentType="application/vnd.openxmlformats-officedocument.customXmlProperties+xml"/>
  <Override PartName="/xl/theme/theme11.xml" ContentType="application/vnd.openxmlformats-officedocument.them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customXml/item13.xml" ContentType="application/xml"/>
  <Override PartName="/customXml/itemProps13.xml" ContentType="application/vnd.openxmlformats-officedocument.customXml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/docProps/core.xml" Id="rId3" /><Relationship Type="http://schemas.microsoft.com/office/2020/02/relationships/classificationlabels" Target="/docMetadata/LabelInfo.xml" Id="rId2" /><Relationship Type="http://schemas.openxmlformats.org/officeDocument/2006/relationships/officeDocument" Target="/xl/workbook.xml" Id="rId1" /><Relationship Type="http://schemas.openxmlformats.org/officeDocument/2006/relationships/custom-properties" Target="/docProps/custom.xml" Id="rId5" /><Relationship Type="http://schemas.openxmlformats.org/officeDocument/2006/relationships/extended-properties" Target="/docProps/app.xml" Id="rId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07"/>
  <workbookPr filterPrivacy="1" codeName="ThisWorkbook"/>
  <xr:revisionPtr revIDLastSave="0" documentId="13_ncr:1_{395CA708-2848-49F2-95D9-70F380417D1E}" xr6:coauthVersionLast="47" xr6:coauthVersionMax="47" xr10:uidLastSave="{00000000-0000-0000-0000-000000000000}"/>
  <bookViews>
    <workbookView xWindow="-120" yWindow="-120" windowWidth="28980" windowHeight="15345" xr2:uid="{00000000-000D-0000-FFFF-FFFF00000000}"/>
  </bookViews>
  <sheets>
    <sheet name="成本数据和图表" sheetId="2" r:id="rId1"/>
  </sheets>
  <definedNames>
    <definedName name="_xlnm.Print_Titles" localSheetId="0">成本数据和图表!$5:$5</definedName>
    <definedName name="列标题1">数据[[#Headers],[成本中心]]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6" i="2"/>
  <c r="F7" i="2"/>
  <c r="F13" i="2"/>
  <c r="F9" i="2"/>
  <c r="F10" i="2"/>
  <c r="F6" i="2"/>
  <c r="F12" i="2"/>
  <c r="F8" i="2"/>
  <c r="F14" i="2"/>
  <c r="F15" i="2"/>
  <c r="F11" i="2"/>
  <c r="D16" i="2"/>
  <c r="E16" i="2"/>
</calcChain>
</file>

<file path=xl/sharedStrings.xml><?xml version="1.0" encoding="utf-8"?>
<sst xmlns="http://schemas.openxmlformats.org/spreadsheetml/2006/main" count="19" uniqueCount="17">
  <si>
    <t>成本分析</t>
  </si>
  <si>
    <t>排列图</t>
  </si>
  <si>
    <t>成本中心</t>
  </si>
  <si>
    <t>部件和材料</t>
  </si>
  <si>
    <t>制造设备</t>
  </si>
  <si>
    <t>薪金</t>
  </si>
  <si>
    <t>维护</t>
  </si>
  <si>
    <t>办公室租赁</t>
  </si>
  <si>
    <t>仓库租赁</t>
  </si>
  <si>
    <t>保险</t>
  </si>
  <si>
    <t>福利和退休金</t>
  </si>
  <si>
    <t>车辆</t>
  </si>
  <si>
    <t>研究</t>
  </si>
  <si>
    <t xml:space="preserve">年度成本 </t>
  </si>
  <si>
    <t>总计百分比</t>
  </si>
  <si>
    <t>累计百分比</t>
  </si>
  <si>
    <t>汇总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</si>
</sst>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¥&quot;* #,##0_ ;_ &quot;¥&quot;* \-#,##0_ ;_ &quot;¥&quot;* &quot;-&quot;_ ;_ @_ "/>
    <numFmt numFmtId="176" formatCode="_(* #,##0_);_(* \(#,##0\);_(* &quot;-&quot;_);_(@_)"/>
    <numFmt numFmtId="177" formatCode="_(* #,##0.00_);_(* \(#,##0.00\);_(* &quot;-&quot;??_);_(@_)"/>
    <numFmt numFmtId="178" formatCode="&quot;¥&quot;#,##0.00_);[Red]\(&quot;¥&quot;#,##0.00\)"/>
  </numFmts>
  <fonts count="27" x14ac:knownFonts="1">
    <font>
      <sz val="11"/>
      <color theme="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i/>
      <sz val="11"/>
      <color rgb="FF7F7F7F"/>
      <name val="Microsoft YaHei UI"/>
      <family val="2"/>
    </font>
    <font>
      <sz val="11"/>
      <color rgb="FF006100"/>
      <name val="Microsoft YaHei UI"/>
      <family val="2"/>
    </font>
    <font>
      <b/>
      <sz val="15"/>
      <color theme="3"/>
      <name val="Microsoft YaHei UI"/>
      <family val="2"/>
    </font>
    <font>
      <b/>
      <sz val="13"/>
      <color theme="3"/>
      <name val="Microsoft YaHei UI"/>
      <family val="2"/>
    </font>
    <font>
      <b/>
      <sz val="11"/>
      <color theme="3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b/>
      <sz val="72"/>
      <color theme="3" tint="-0.499984740745262"/>
      <name val="Microsoft YaHei UI"/>
      <family val="2"/>
    </font>
    <font>
      <sz val="11"/>
      <color theme="1"/>
      <name val="Microsoft YaHei UI"/>
      <family val="2"/>
      <charset val="134"/>
    </font>
    <font>
      <b/>
      <sz val="28"/>
      <color theme="3" tint="-0.499984740745262"/>
      <name val="Microsoft YaHei UI"/>
      <family val="2"/>
      <charset val="134"/>
    </font>
    <font>
      <b/>
      <sz val="18"/>
      <color theme="1" tint="0.14999847407452621"/>
      <name val="Microsoft YaHei UI"/>
      <family val="2"/>
      <charset val="134"/>
    </font>
    <font>
      <b/>
      <sz val="15"/>
      <color theme="1" tint="0.14999847407452621"/>
      <name val="Microsoft YaHei UI"/>
      <family val="2"/>
      <charset val="134"/>
    </font>
    <font>
      <sz val="11"/>
      <color theme="1" tint="0.14999847407452621"/>
      <name val="Microsoft YaHei UI"/>
      <family val="2"/>
      <charset val="134"/>
    </font>
    <font>
      <b/>
      <sz val="14"/>
      <color theme="1" tint="0.14999847407452621"/>
      <name val="Microsoft YaHei UI"/>
      <family val="2"/>
      <charset val="134"/>
    </font>
    <font>
      <sz val="14"/>
      <color theme="4" tint="-0.499984740745262"/>
      <name val="Microsoft YaHei UI"/>
      <family val="2"/>
      <charset val="134"/>
    </font>
    <font>
      <b/>
      <sz val="14"/>
      <color theme="4" tint="-0.499984740745262"/>
      <name val="Microsoft YaHei UI"/>
      <family val="2"/>
      <charset val="134"/>
    </font>
    <font>
      <sz val="9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wrapText="1"/>
    </xf>
    <xf numFmtId="0" fontId="8" fillId="0" borderId="1">
      <alignment horizontal="left"/>
    </xf>
    <xf numFmtId="0" fontId="9" fillId="0" borderId="2" applyNumberFormat="0" applyFill="0" applyAlignment="0" applyProtection="0"/>
    <xf numFmtId="178" fontId="1" fillId="0" borderId="0" applyFont="0" applyFill="0" applyBorder="0" applyProtection="0">
      <alignment horizontal="right"/>
    </xf>
    <xf numFmtId="10" fontId="1" fillId="0" borderId="0" applyFont="0" applyFill="0" applyBorder="0" applyProtection="0">
      <alignment horizontal="right"/>
    </xf>
    <xf numFmtId="0" fontId="8" fillId="0" borderId="1">
      <alignment horizontal="left" vertical="center"/>
    </xf>
    <xf numFmtId="0" fontId="2" fillId="0" borderId="0" applyNumberFormat="0" applyFill="0" applyBorder="0" applyAlignment="0">
      <alignment horizontal="center" wrapText="1"/>
    </xf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3" fillId="7" borderId="0" applyNumberFormat="0" applyBorder="0" applyAlignment="0" applyProtection="0"/>
    <xf numFmtId="0" fontId="13" fillId="8" borderId="0" applyNumberFormat="0" applyBorder="0" applyAlignment="0" applyProtection="0"/>
    <xf numFmtId="0" fontId="11" fillId="9" borderId="4" applyNumberFormat="0" applyAlignment="0" applyProtection="0"/>
    <xf numFmtId="0" fontId="14" fillId="10" borderId="5" applyNumberFormat="0" applyAlignment="0" applyProtection="0"/>
    <xf numFmtId="0" fontId="4" fillId="10" borderId="4" applyNumberFormat="0" applyAlignment="0" applyProtection="0"/>
    <xf numFmtId="0" fontId="12" fillId="0" borderId="6" applyNumberFormat="0" applyFill="0" applyAlignment="0" applyProtection="0"/>
    <xf numFmtId="0" fontId="5" fillId="11" borderId="7" applyNumberFormat="0" applyAlignment="0" applyProtection="0"/>
    <xf numFmtId="0" fontId="16" fillId="0" borderId="0" applyNumberFormat="0" applyFill="0" applyBorder="0" applyAlignment="0" applyProtection="0"/>
    <xf numFmtId="0" fontId="1" fillId="12" borderId="8" applyNumberFormat="0" applyFont="0" applyAlignment="0" applyProtection="0"/>
    <xf numFmtId="0" fontId="6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19">
    <xf numFmtId="0" fontId="0" fillId="0" borderId="0" xfId="0">
      <alignment wrapText="1"/>
    </xf>
    <xf numFmtId="0" fontId="17" fillId="2" borderId="0" xfId="5" applyFont="1" applyFill="1" applyBorder="1" applyAlignment="1">
      <alignment horizontal="left" wrapText="1" indent="1"/>
    </xf>
    <xf numFmtId="0" fontId="0" fillId="2" borderId="0" xfId="0" applyFont="1" applyFill="1">
      <alignment wrapText="1"/>
    </xf>
    <xf numFmtId="0" fontId="0" fillId="0" borderId="0" xfId="0" applyFont="1">
      <alignment wrapText="1"/>
    </xf>
    <xf numFmtId="0" fontId="19" fillId="2" borderId="0" xfId="0" applyFont="1" applyFill="1" applyAlignment="1">
      <alignment horizontal="left" vertical="top" wrapText="1" indent="2"/>
    </xf>
    <xf numFmtId="0" fontId="20" fillId="4" borderId="0" xfId="1" applyFont="1" applyFill="1" applyBorder="1" applyAlignment="1">
      <alignment horizontal="left" vertical="center" indent="2"/>
    </xf>
    <xf numFmtId="0" fontId="21" fillId="4" borderId="0" xfId="1" applyFont="1" applyFill="1" applyBorder="1" applyAlignment="1">
      <alignment horizontal="left" vertical="center" indent="1"/>
    </xf>
    <xf numFmtId="0" fontId="22" fillId="2" borderId="0" xfId="0" applyFont="1" applyFill="1">
      <alignment wrapText="1"/>
    </xf>
    <xf numFmtId="0" fontId="20" fillId="5" borderId="0" xfId="0" applyFont="1" applyFill="1" applyAlignment="1">
      <alignment horizontal="left" vertical="center" wrapText="1" indent="2"/>
    </xf>
    <xf numFmtId="0" fontId="23" fillId="0" borderId="0" xfId="0" applyFont="1" applyAlignment="1">
      <alignment horizontal="left" vertical="center" wrapText="1" indent="2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 indent="1"/>
    </xf>
    <xf numFmtId="0" fontId="18" fillId="3" borderId="0" xfId="0" applyFont="1" applyFill="1">
      <alignment wrapText="1"/>
    </xf>
    <xf numFmtId="0" fontId="24" fillId="0" borderId="0" xfId="0" applyFont="1" applyAlignment="1">
      <alignment horizontal="left" vertical="center" wrapText="1" indent="2"/>
    </xf>
    <xf numFmtId="178" fontId="24" fillId="0" borderId="0" xfId="3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 indent="2"/>
    </xf>
    <xf numFmtId="178" fontId="25" fillId="0" borderId="0" xfId="0" applyNumberFormat="1" applyFont="1" applyAlignment="1">
      <alignment horizontal="left" vertical="center" wrapText="1"/>
    </xf>
    <xf numFmtId="10" fontId="25" fillId="0" borderId="0" xfId="0" applyNumberFormat="1" applyFont="1" applyAlignment="1">
      <alignment horizontal="left" vertical="center" wrapText="1" indent="1"/>
    </xf>
    <xf numFmtId="10" fontId="24" fillId="0" borderId="0" xfId="4" applyFont="1" applyFill="1" applyBorder="1" applyAlignment="1">
      <alignment horizontal="left" vertical="center"/>
    </xf>
  </cellXfs>
  <cellStyles count="48">
    <cellStyle name="20% - 着色 1" xfId="25" builtinId="30" customBuiltin="1"/>
    <cellStyle name="20% - 着色 2" xfId="29" builtinId="34" customBuiltin="1"/>
    <cellStyle name="20% - 着色 3" xfId="33" builtinId="38" customBuiltin="1"/>
    <cellStyle name="20% - 着色 4" xfId="37" builtinId="42" customBuiltin="1"/>
    <cellStyle name="20% - 着色 5" xfId="41" builtinId="46" customBuiltin="1"/>
    <cellStyle name="20% - 着色 6" xfId="45" builtinId="50" customBuiltin="1"/>
    <cellStyle name="40% - 着色 1" xfId="26" builtinId="31" customBuiltin="1"/>
    <cellStyle name="40% - 着色 2" xfId="30" builtinId="35" customBuiltin="1"/>
    <cellStyle name="40% - 着色 3" xfId="34" builtinId="39" customBuiltin="1"/>
    <cellStyle name="40% - 着色 4" xfId="38" builtinId="43" customBuiltin="1"/>
    <cellStyle name="40% - 着色 5" xfId="42" builtinId="47" customBuiltin="1"/>
    <cellStyle name="40% - 着色 6" xfId="46" builtinId="51" customBuiltin="1"/>
    <cellStyle name="60% - 着色 1" xfId="27" builtinId="32" customBuiltin="1"/>
    <cellStyle name="60% - 着色 2" xfId="31" builtinId="36" customBuiltin="1"/>
    <cellStyle name="60% - 着色 3" xfId="35" builtinId="40" customBuiltin="1"/>
    <cellStyle name="60% - 着色 4" xfId="39" builtinId="44" customBuiltin="1"/>
    <cellStyle name="60% - 着色 5" xfId="43" builtinId="48" customBuiltin="1"/>
    <cellStyle name="60% - 着色 6" xfId="47" builtinId="52" customBuiltin="1"/>
    <cellStyle name="z隐藏文本" xfId="6" xr:uid="{F6161882-ABBC-4CDD-9369-B0FFFF270934}"/>
    <cellStyle name="百分比" xfId="4" builtinId="5" customBuiltin="1"/>
    <cellStyle name="标题" xfId="5" builtinId="15" customBuiltin="1"/>
    <cellStyle name="标题 1" xfId="1" builtinId="16" customBuiltin="1"/>
    <cellStyle name="标题 2" xfId="2" builtinId="17" customBuiltin="1"/>
    <cellStyle name="标题 3" xfId="10" builtinId="18" customBuiltin="1"/>
    <cellStyle name="标题 4" xfId="11" builtinId="19" customBuiltin="1"/>
    <cellStyle name="差" xfId="13" builtinId="27" customBuiltin="1"/>
    <cellStyle name="常规" xfId="0" builtinId="0" customBuiltin="1"/>
    <cellStyle name="好" xfId="12" builtinId="26" customBuiltin="1"/>
    <cellStyle name="汇总" xfId="23" builtinId="25" customBuiltin="1"/>
    <cellStyle name="货币" xfId="3" builtinId="4" customBuiltin="1"/>
    <cellStyle name="货币[0]" xfId="9" builtinId="7" customBuiltin="1"/>
    <cellStyle name="计算" xfId="17" builtinId="22" customBuiltin="1"/>
    <cellStyle name="检查单元格" xfId="19" builtinId="23" customBuiltin="1"/>
    <cellStyle name="解释性文本" xfId="22" builtinId="53" customBuiltin="1"/>
    <cellStyle name="警告文本" xfId="20" builtinId="11" customBuiltin="1"/>
    <cellStyle name="链接单元格" xfId="18" builtinId="24" customBuiltin="1"/>
    <cellStyle name="千位分隔" xfId="7" builtinId="3" customBuiltin="1"/>
    <cellStyle name="千位分隔[0]" xfId="8" builtinId="6" customBuiltin="1"/>
    <cellStyle name="适中" xfId="14" builtinId="28" customBuiltin="1"/>
    <cellStyle name="输出" xfId="16" builtinId="21" customBuiltin="1"/>
    <cellStyle name="输入" xfId="15" builtinId="20" customBuiltin="1"/>
    <cellStyle name="着色 1" xfId="24" builtinId="29" customBuiltin="1"/>
    <cellStyle name="着色 2" xfId="28" builtinId="33" customBuiltin="1"/>
    <cellStyle name="着色 3" xfId="32" builtinId="37" customBuiltin="1"/>
    <cellStyle name="着色 4" xfId="36" builtinId="41" customBuiltin="1"/>
    <cellStyle name="着色 5" xfId="40" builtinId="45" customBuiltin="1"/>
    <cellStyle name="着色 6" xfId="44" builtinId="49" customBuiltin="1"/>
    <cellStyle name="注释" xfId="21" builtinId="10" customBuiltin="1"/>
  </cellStyles>
  <dxfs count="14">
    <dxf>
      <font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numFmt numFmtId="14" formatCode="0.00%"/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numFmt numFmtId="14" formatCode="0.00%"/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numFmt numFmtId="178" formatCode="&quot;¥&quot;#,##0.00_);[Red]\(&quot;¥&quot;#,##0.00\)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4" tint="-0.499984740745262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 tint="0.1499984740745262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</dxfs>
  <tableStyles count="1" defaultTableStyle="TableStyleLight9" defaultPivotStyle="PivotStyleLight16">
    <tableStyle name="表格样式 1" pivot="0" count="3" xr9:uid="{45B6FF1C-BF4F-AB45-B97A-E3509B3D88C4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3.xml" Id="rId8" /><Relationship Type="http://schemas.openxmlformats.org/officeDocument/2006/relationships/styles" Target="/xl/styles.xml" Id="rId3" /><Relationship Type="http://schemas.openxmlformats.org/officeDocument/2006/relationships/customXml" Target="/customXml/item22.xml" Id="rId7" /><Relationship Type="http://schemas.openxmlformats.org/officeDocument/2006/relationships/theme" Target="/xl/theme/theme11.xml" Id="rId2" /><Relationship Type="http://schemas.openxmlformats.org/officeDocument/2006/relationships/worksheet" Target="/xl/worksheets/sheet11.xml" Id="rId1" /><Relationship Type="http://schemas.openxmlformats.org/officeDocument/2006/relationships/customXml" Target="/customXml/item13.xml" Id="rId6" /><Relationship Type="http://schemas.openxmlformats.org/officeDocument/2006/relationships/calcChain" Target="/xl/calcChain.xml" Id="rId5" /><Relationship Type="http://schemas.openxmlformats.org/officeDocument/2006/relationships/sharedStrings" Target="/xl/sharedStrings.xml" Id="rId4" /></Relationships>
</file>

<file path=xl/charts/_rels/chart11.xml.rels>&#65279;<?xml version="1.0" encoding="utf-8"?><Relationships xmlns="http://schemas.openxmlformats.org/package/2006/relationships"><Relationship Type="http://schemas.microsoft.com/office/2011/relationships/chartColorStyle" Target="/xl/charts/colors1.xml" Id="rId2" /><Relationship Type="http://schemas.microsoft.com/office/2011/relationships/chartStyle" Target="/xl/charts/style1.xml" Id="rId1" /></Relationships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79299254951355"/>
          <c:y val="7.4507853185018541E-2"/>
          <c:w val="0.72603929115391874"/>
          <c:h val="0.69854984793567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成本数据和图表!$D$5</c:f>
              <c:strCache>
                <c:ptCount val="1"/>
                <c:pt idx="0">
                  <c:v>年度成本 </c:v>
                </c:pt>
              </c:strCache>
            </c:strRef>
          </c:tx>
          <c:spPr>
            <a:solidFill>
              <a:schemeClr val="tx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成本数据和图表!$C$6:$C$15</c:f>
              <c:strCache>
                <c:ptCount val="10"/>
                <c:pt idx="0">
                  <c:v>部件和材料</c:v>
                </c:pt>
                <c:pt idx="1">
                  <c:v>制造设备</c:v>
                </c:pt>
                <c:pt idx="2">
                  <c:v>薪金</c:v>
                </c:pt>
                <c:pt idx="3">
                  <c:v>维护</c:v>
                </c:pt>
                <c:pt idx="4">
                  <c:v>办公室租赁</c:v>
                </c:pt>
                <c:pt idx="5">
                  <c:v>仓库租赁</c:v>
                </c:pt>
                <c:pt idx="6">
                  <c:v>保险</c:v>
                </c:pt>
                <c:pt idx="7">
                  <c:v>福利和退休金</c:v>
                </c:pt>
                <c:pt idx="8">
                  <c:v>车辆</c:v>
                </c:pt>
                <c:pt idx="9">
                  <c:v>研究</c:v>
                </c:pt>
              </c:strCache>
            </c:strRef>
          </c:cat>
          <c:val>
            <c:numRef>
              <c:f>成本数据和图表!$D$6:$D$15</c:f>
              <c:numCache>
                <c:formatCode>"¥"#,##0.00_);[Red]\("¥"#,##0.00\)</c:formatCode>
                <c:ptCount val="10"/>
                <c:pt idx="0">
                  <c:v>1325000</c:v>
                </c:pt>
                <c:pt idx="1">
                  <c:v>900500</c:v>
                </c:pt>
                <c:pt idx="2">
                  <c:v>575000</c:v>
                </c:pt>
                <c:pt idx="3">
                  <c:v>395000</c:v>
                </c:pt>
                <c:pt idx="4">
                  <c:v>295000</c:v>
                </c:pt>
                <c:pt idx="5">
                  <c:v>250000</c:v>
                </c:pt>
                <c:pt idx="6">
                  <c:v>180000</c:v>
                </c:pt>
                <c:pt idx="7">
                  <c:v>130000</c:v>
                </c:pt>
                <c:pt idx="8">
                  <c:v>125000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D-49FE-8B46-B22AC287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10122592"/>
        <c:axId val="310122976"/>
      </c:barChart>
      <c:lineChart>
        <c:grouping val="standard"/>
        <c:varyColors val="0"/>
        <c:ser>
          <c:idx val="1"/>
          <c:order val="1"/>
          <c:tx>
            <c:strRef>
              <c:f>成本数据和图表!$F$5</c:f>
              <c:strCache>
                <c:ptCount val="1"/>
                <c:pt idx="0">
                  <c:v>累计百分比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成本数据和图表!$F$6:$F$15</c:f>
              <c:numCache>
                <c:formatCode>0.00%</c:formatCode>
                <c:ptCount val="10"/>
                <c:pt idx="0">
                  <c:v>0.31172803199623572</c:v>
                </c:pt>
                <c:pt idx="1">
                  <c:v>0.52358546053405486</c:v>
                </c:pt>
                <c:pt idx="2">
                  <c:v>0.65886366309845901</c:v>
                </c:pt>
                <c:pt idx="3">
                  <c:v>0.75179390659922363</c:v>
                </c:pt>
                <c:pt idx="4">
                  <c:v>0.82119750617574405</c:v>
                </c:pt>
                <c:pt idx="5">
                  <c:v>0.88001411598635459</c:v>
                </c:pt>
                <c:pt idx="6">
                  <c:v>0.92236207504999412</c:v>
                </c:pt>
                <c:pt idx="7">
                  <c:v>0.95294671215151161</c:v>
                </c:pt>
                <c:pt idx="8">
                  <c:v>0.98235501705681683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D-49FE-8B46-B22AC287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8056"/>
        <c:axId val="310143576"/>
      </c:lineChart>
      <c:catAx>
        <c:axId val="310122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310122976"/>
        <c:crosses val="autoZero"/>
        <c:auto val="1"/>
        <c:lblAlgn val="ctr"/>
        <c:lblOffset val="100"/>
        <c:noMultiLvlLbl val="0"/>
      </c:catAx>
      <c:valAx>
        <c:axId val="310122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¥&quot;#,##0.00_);[Red]\(&quot;¥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310122592"/>
        <c:crosses val="autoZero"/>
        <c:crossBetween val="between"/>
      </c:valAx>
      <c:valAx>
        <c:axId val="310143576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310148056"/>
        <c:crosses val="max"/>
        <c:crossBetween val="between"/>
      </c:valAx>
      <c:catAx>
        <c:axId val="310148056"/>
        <c:scaling>
          <c:orientation val="minMax"/>
        </c:scaling>
        <c:delete val="1"/>
        <c:axPos val="b"/>
        <c:majorTickMark val="out"/>
        <c:minorTickMark val="none"/>
        <c:tickLblPos val="nextTo"/>
        <c:crossAx val="310143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zh-CN"/>
    </a:p>
  </c:txPr>
  <c:printSettings>
    <c:headerFooter/>
    <c:pageMargins b="0.4" l="0.4" r="0.4" t="0.4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.svg" Id="rId3" /><Relationship Type="http://schemas.openxmlformats.org/officeDocument/2006/relationships/image" Target="/xl/media/image1.png" Id="rId2" /><Relationship Type="http://schemas.openxmlformats.org/officeDocument/2006/relationships/chart" Target="/xl/charts/chart11.xml" Id="rId1" /></Relationship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168273</xdr:colOff>
      <xdr:row>4</xdr:row>
      <xdr:rowOff>38099</xdr:rowOff>
    </xdr:from>
    <xdr:to>
      <xdr:col>7</xdr:col>
      <xdr:colOff>6845299</xdr:colOff>
      <xdr:row>15</xdr:row>
      <xdr:rowOff>393700</xdr:rowOff>
    </xdr:to>
    <xdr:graphicFrame macro="">
      <xdr:nvGraphicFramePr>
        <xdr:cNvPr id="4" name="排列图" descr="所有成本中心的年度成本累计百分比的排列图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527670</xdr:colOff>
      <xdr:row>0</xdr:row>
      <xdr:rowOff>165101</xdr:rowOff>
    </xdr:from>
    <xdr:to>
      <xdr:col>7</xdr:col>
      <xdr:colOff>6375400</xdr:colOff>
      <xdr:row>2</xdr:row>
      <xdr:rowOff>673101</xdr:rowOff>
    </xdr:to>
    <xdr:pic>
      <xdr:nvPicPr>
        <xdr:cNvPr id="2" name="图形 1" descr="两个人坐在桌旁，拿着笔记本电脑谈论一些图表的插图">
          <a:extLst>
            <a:ext uri="{FF2B5EF4-FFF2-40B4-BE49-F238E27FC236}">
              <a16:creationId xmlns:a16="http://schemas.microsoft.com/office/drawing/2014/main" id="{11F1A006-11DF-E24F-8DD6-143ADBB0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8896970" y="165101"/>
          <a:ext cx="5847730" cy="2260600"/>
        </a:xfrm>
        <a:prstGeom prst="rect">
          <a:avLst/>
        </a:prstGeom>
      </xdr:spPr>
    </xdr:pic>
    <xdr:clientData/>
  </xdr:twoCellAnchor>
</xdr:wsDr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数据" displayName="数据" ref="C5:F16" totalsRowCount="1" headerRowDxfId="10" dataDxfId="8" totalsRowDxfId="9">
  <autoFilter ref="C5:F15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成本中心" totalsRowLabel="汇总" dataDxfId="3" totalsRowDxfId="7"/>
    <tableColumn id="2" xr3:uid="{00000000-0010-0000-0000-000002000000}" name="年度成本 " totalsRowFunction="sum" dataDxfId="2" totalsRowDxfId="6" dataCellStyle="货币"/>
    <tableColumn id="3" xr3:uid="{00000000-0010-0000-0000-000003000000}" name="总计百分比" totalsRowFunction="sum" dataDxfId="1" totalsRowDxfId="5" dataCellStyle="百分比">
      <calculatedColumnFormula>IFERROR(数据[[#This Row],[年度成本 ]]/SUM(数据[[年度成本 ]]), "")</calculatedColumnFormula>
    </tableColumn>
    <tableColumn id="4" xr3:uid="{00000000-0010-0000-0000-000004000000}" name="累计百分比" dataDxfId="0" totalsRowDxfId="4" dataCellStyle="百分比">
      <calculatedColumnFormula>IFERROR(SUM(INDEX(数据[总计百分比],1):数据[[#This Row],[总计百分比]]), "")</calculatedColumnFormula>
    </tableColumn>
  </tableColumns>
  <tableStyleInfo name="表格样式 1" showFirstColumn="0" showLastColumn="0" showRowStripes="1" showColumnStripes="0"/>
  <extLst>
    <ext xmlns:x14="http://schemas.microsoft.com/office/spreadsheetml/2009/9/main" uri="{504A1905-F514-4f6f-8877-14C23A59335A}">
      <x14:table altTextSummary="在此表中输入成本中心、年度成本和总计百分比。自动计算累计百分比"/>
    </ext>
  </extLst>
</table>
</file>

<file path=xl/theme/theme11.xml><?xml version="1.0" encoding="utf-8"?>
<a:theme xmlns:a="http://schemas.openxmlformats.org/drawingml/2006/main" name="Office Theme">
  <a:themeElements>
    <a:clrScheme name="Pareto Chart">
      <a:dk1>
        <a:srgbClr val="000000"/>
      </a:dk1>
      <a:lt1>
        <a:srgbClr val="FFFFFF"/>
      </a:lt1>
      <a:dk2>
        <a:srgbClr val="F4F7FA"/>
      </a:dk2>
      <a:lt2>
        <a:srgbClr val="E7E6E6"/>
      </a:lt2>
      <a:accent1>
        <a:srgbClr val="7ACAB2"/>
      </a:accent1>
      <a:accent2>
        <a:srgbClr val="A1BCE3"/>
      </a:accent2>
      <a:accent3>
        <a:srgbClr val="EB786C"/>
      </a:accent3>
      <a:accent4>
        <a:srgbClr val="FEBF00"/>
      </a:accent4>
      <a:accent5>
        <a:srgbClr val="0F137C"/>
      </a:accent5>
      <a:accent6>
        <a:srgbClr val="6483CA"/>
      </a:accent6>
      <a:hlink>
        <a:srgbClr val="0563C1"/>
      </a:hlink>
      <a:folHlink>
        <a:srgbClr val="954F72"/>
      </a:folHlink>
    </a:clrScheme>
    <a:fontScheme name="Custom 57">
      <a:majorFont>
        <a:latin typeface="Aharoni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" /><Relationship Type="http://schemas.openxmlformats.org/officeDocument/2006/relationships/drawing" Target="/xl/drawings/drawing11.xml" Id="rId2" /><Relationship Type="http://schemas.openxmlformats.org/officeDocument/2006/relationships/printerSettings" Target="/xl/printerSettings/printerSettings11.bin" Id="rId1" 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  <pageSetUpPr autoPageBreaks="0" fitToPage="1"/>
  </sheetPr>
  <dimension ref="A1:J17"/>
  <sheetViews>
    <sheetView showGridLines="0" tabSelected="1" zoomScaleNormal="100" workbookViewId="0"/>
  </sheetViews>
  <sheetFormatPr defaultColWidth="8.77734375" defaultRowHeight="30" customHeight="1" x14ac:dyDescent="0.3"/>
  <cols>
    <col min="1" max="2" width="3.88671875" style="3" customWidth="1"/>
    <col min="3" max="3" width="49.33203125" style="3" customWidth="1"/>
    <col min="4" max="6" width="35.44140625" style="3" customWidth="1"/>
    <col min="7" max="7" width="9.44140625" style="3" customWidth="1"/>
    <col min="8" max="8" width="94" style="3" customWidth="1"/>
    <col min="9" max="10" width="2.77734375" style="3" customWidth="1"/>
    <col min="11" max="11" width="8.6640625" style="3" customWidth="1"/>
    <col min="12" max="16384" width="8.77734375" style="3"/>
  </cols>
  <sheetData>
    <row r="1" spans="1:10" ht="1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20" customHeight="1" x14ac:dyDescent="1.65">
      <c r="A2" s="2"/>
      <c r="B2" s="2"/>
      <c r="C2" s="1" t="s">
        <v>0</v>
      </c>
      <c r="D2" s="1"/>
      <c r="E2" s="1"/>
      <c r="F2" s="1"/>
      <c r="G2" s="2"/>
      <c r="H2" s="2"/>
      <c r="I2" s="2"/>
      <c r="J2" s="2"/>
    </row>
    <row r="3" spans="1:10" ht="67.900000000000006" customHeight="1" x14ac:dyDescent="0.3">
      <c r="A3" s="2"/>
      <c r="B3" s="2"/>
      <c r="C3" s="4" t="s">
        <v>1</v>
      </c>
      <c r="D3" s="4"/>
      <c r="E3" s="4"/>
      <c r="F3" s="4"/>
      <c r="G3" s="2"/>
      <c r="H3" s="2"/>
      <c r="I3" s="2"/>
      <c r="J3" s="2"/>
    </row>
    <row r="4" spans="1:10" ht="48" customHeight="1" x14ac:dyDescent="0.3">
      <c r="A4" s="2"/>
      <c r="B4" s="2"/>
      <c r="C4" s="5" t="s">
        <v>0</v>
      </c>
      <c r="D4" s="6"/>
      <c r="E4" s="6"/>
      <c r="F4" s="6"/>
      <c r="G4" s="7"/>
      <c r="H4" s="8" t="s">
        <v>2</v>
      </c>
      <c r="I4" s="2"/>
      <c r="J4" s="2"/>
    </row>
    <row r="5" spans="1:10" ht="34.9" customHeight="1" x14ac:dyDescent="0.3">
      <c r="A5" s="2"/>
      <c r="B5" s="2"/>
      <c r="C5" s="9" t="s">
        <v>2</v>
      </c>
      <c r="D5" s="10" t="s">
        <v>13</v>
      </c>
      <c r="E5" s="11" t="s">
        <v>14</v>
      </c>
      <c r="F5" s="11" t="s">
        <v>15</v>
      </c>
      <c r="G5" s="2"/>
      <c r="H5" s="12"/>
      <c r="I5" s="2"/>
      <c r="J5" s="2"/>
    </row>
    <row r="6" spans="1:10" ht="34.9" customHeight="1" x14ac:dyDescent="0.3">
      <c r="A6" s="2"/>
      <c r="B6" s="2"/>
      <c r="C6" s="13" t="s">
        <v>3</v>
      </c>
      <c r="D6" s="14">
        <v>1325000</v>
      </c>
      <c r="E6" s="18">
        <f>IFERROR(数据[[#This Row],[年度成本 ]]/SUM(数据[[年度成本 ]]), "")</f>
        <v>0.31172803199623572</v>
      </c>
      <c r="F6" s="18">
        <f>IFERROR(SUM(INDEX(数据[总计百分比],1):数据[[#This Row],[总计百分比]]), "")</f>
        <v>0.31172803199623572</v>
      </c>
      <c r="G6" s="2"/>
      <c r="H6" s="12"/>
      <c r="I6" s="2"/>
      <c r="J6" s="2"/>
    </row>
    <row r="7" spans="1:10" ht="34.9" customHeight="1" x14ac:dyDescent="0.3">
      <c r="A7" s="2"/>
      <c r="B7" s="2"/>
      <c r="C7" s="13" t="s">
        <v>4</v>
      </c>
      <c r="D7" s="14">
        <v>900500</v>
      </c>
      <c r="E7" s="18">
        <f>IFERROR(数据[[#This Row],[年度成本 ]]/SUM(数据[[年度成本 ]]), "")</f>
        <v>0.21185742853781908</v>
      </c>
      <c r="F7" s="18">
        <f>IFERROR(SUM(INDEX(数据[总计百分比],1):数据[[#This Row],[总计百分比]]), "")</f>
        <v>0.52358546053405486</v>
      </c>
      <c r="G7" s="2"/>
      <c r="H7" s="12"/>
      <c r="I7" s="2"/>
      <c r="J7" s="2"/>
    </row>
    <row r="8" spans="1:10" ht="34.9" customHeight="1" x14ac:dyDescent="0.3">
      <c r="A8" s="2"/>
      <c r="B8" s="2"/>
      <c r="C8" s="13" t="s">
        <v>5</v>
      </c>
      <c r="D8" s="14">
        <v>575000</v>
      </c>
      <c r="E8" s="18">
        <f>IFERROR(数据[[#This Row],[年度成本 ]]/SUM(数据[[年度成本 ]]), "")</f>
        <v>0.13527820256440418</v>
      </c>
      <c r="F8" s="18">
        <f>IFERROR(SUM(INDEX(数据[总计百分比],1):数据[[#This Row],[总计百分比]]), "")</f>
        <v>0.65886366309845901</v>
      </c>
      <c r="G8" s="2"/>
      <c r="H8" s="12"/>
      <c r="I8" s="2"/>
      <c r="J8" s="2"/>
    </row>
    <row r="9" spans="1:10" ht="34.9" customHeight="1" x14ac:dyDescent="0.3">
      <c r="A9" s="2"/>
      <c r="B9" s="2"/>
      <c r="C9" s="13" t="s">
        <v>6</v>
      </c>
      <c r="D9" s="14">
        <v>395000</v>
      </c>
      <c r="E9" s="18">
        <f>IFERROR(数据[[#This Row],[年度成本 ]]/SUM(数据[[年度成本 ]]), "")</f>
        <v>9.293024350076462E-2</v>
      </c>
      <c r="F9" s="18">
        <f>IFERROR(SUM(INDEX(数据[总计百分比],1):数据[[#This Row],[总计百分比]]), "")</f>
        <v>0.75179390659922363</v>
      </c>
      <c r="G9" s="2"/>
      <c r="H9" s="12"/>
      <c r="I9" s="2"/>
      <c r="J9" s="2"/>
    </row>
    <row r="10" spans="1:10" ht="34.9" customHeight="1" x14ac:dyDescent="0.3">
      <c r="A10" s="2"/>
      <c r="B10" s="2"/>
      <c r="C10" s="13" t="s">
        <v>7</v>
      </c>
      <c r="D10" s="14">
        <v>295000</v>
      </c>
      <c r="E10" s="18">
        <f>IFERROR(数据[[#This Row],[年度成本 ]]/SUM(数据[[年度成本 ]]), "")</f>
        <v>6.9403599576520411E-2</v>
      </c>
      <c r="F10" s="18">
        <f>IFERROR(SUM(INDEX(数据[总计百分比],1):数据[[#This Row],[总计百分比]]), "")</f>
        <v>0.82119750617574405</v>
      </c>
      <c r="G10" s="2"/>
      <c r="H10" s="12"/>
      <c r="I10" s="2"/>
      <c r="J10" s="2"/>
    </row>
    <row r="11" spans="1:10" ht="34.9" customHeight="1" x14ac:dyDescent="0.3">
      <c r="A11" s="2"/>
      <c r="B11" s="2"/>
      <c r="C11" s="13" t="s">
        <v>8</v>
      </c>
      <c r="D11" s="14">
        <v>250000</v>
      </c>
      <c r="E11" s="18">
        <f>IFERROR(数据[[#This Row],[年度成本 ]]/SUM(数据[[年度成本 ]]), "")</f>
        <v>5.8816609810610515E-2</v>
      </c>
      <c r="F11" s="18">
        <f>IFERROR(SUM(INDEX(数据[总计百分比],1):数据[[#This Row],[总计百分比]]), "")</f>
        <v>0.88001411598635459</v>
      </c>
      <c r="G11" s="2"/>
      <c r="H11" s="12"/>
      <c r="I11" s="2"/>
      <c r="J11" s="2"/>
    </row>
    <row r="12" spans="1:10" ht="34.9" customHeight="1" x14ac:dyDescent="0.3">
      <c r="A12" s="2"/>
      <c r="B12" s="2"/>
      <c r="C12" s="13" t="s">
        <v>9</v>
      </c>
      <c r="D12" s="14">
        <v>180000</v>
      </c>
      <c r="E12" s="18">
        <f>IFERROR(数据[[#This Row],[年度成本 ]]/SUM(数据[[年度成本 ]]), "")</f>
        <v>4.234795906363957E-2</v>
      </c>
      <c r="F12" s="18">
        <f>IFERROR(SUM(INDEX(数据[总计百分比],1):数据[[#This Row],[总计百分比]]), "")</f>
        <v>0.92236207504999412</v>
      </c>
      <c r="G12" s="2"/>
      <c r="H12" s="12"/>
      <c r="I12" s="2"/>
      <c r="J12" s="2"/>
    </row>
    <row r="13" spans="1:10" ht="34.9" customHeight="1" x14ac:dyDescent="0.3">
      <c r="A13" s="2"/>
      <c r="B13" s="2"/>
      <c r="C13" s="13" t="s">
        <v>10</v>
      </c>
      <c r="D13" s="14">
        <v>130000</v>
      </c>
      <c r="E13" s="18">
        <f>IFERROR(数据[[#This Row],[年度成本 ]]/SUM(数据[[年度成本 ]]), "")</f>
        <v>3.0584637101517469E-2</v>
      </c>
      <c r="F13" s="18">
        <f>IFERROR(SUM(INDEX(数据[总计百分比],1):数据[[#This Row],[总计百分比]]), "")</f>
        <v>0.95294671215151161</v>
      </c>
      <c r="G13" s="2"/>
      <c r="H13" s="12"/>
      <c r="I13" s="2"/>
      <c r="J13" s="2"/>
    </row>
    <row r="14" spans="1:10" ht="34.9" customHeight="1" x14ac:dyDescent="0.3">
      <c r="A14" s="2"/>
      <c r="B14" s="2"/>
      <c r="C14" s="13" t="s">
        <v>11</v>
      </c>
      <c r="D14" s="14">
        <v>125000</v>
      </c>
      <c r="E14" s="18">
        <f>IFERROR(数据[[#This Row],[年度成本 ]]/SUM(数据[[年度成本 ]]), "")</f>
        <v>2.9408304905305258E-2</v>
      </c>
      <c r="F14" s="18">
        <f>IFERROR(SUM(INDEX(数据[总计百分比],1):数据[[#This Row],[总计百分比]]), "")</f>
        <v>0.98235501705681683</v>
      </c>
      <c r="G14" s="2"/>
      <c r="H14" s="12"/>
      <c r="I14" s="2"/>
      <c r="J14" s="2"/>
    </row>
    <row r="15" spans="1:10" ht="34.9" customHeight="1" x14ac:dyDescent="0.3">
      <c r="A15" s="2"/>
      <c r="B15" s="2"/>
      <c r="C15" s="13" t="s">
        <v>12</v>
      </c>
      <c r="D15" s="14">
        <v>75000</v>
      </c>
      <c r="E15" s="18">
        <f>IFERROR(数据[[#This Row],[年度成本 ]]/SUM(数据[[年度成本 ]]), "")</f>
        <v>1.7644982943183157E-2</v>
      </c>
      <c r="F15" s="18">
        <f>IFERROR(SUM(INDEX(数据[总计百分比],1):数据[[#This Row],[总计百分比]]), "")</f>
        <v>1</v>
      </c>
      <c r="G15" s="2"/>
      <c r="H15" s="12"/>
      <c r="I15" s="2"/>
      <c r="J15" s="2"/>
    </row>
    <row r="16" spans="1:10" ht="34.9" customHeight="1" x14ac:dyDescent="0.3">
      <c r="A16" s="2"/>
      <c r="B16" s="2"/>
      <c r="C16" s="15" t="s">
        <v>16</v>
      </c>
      <c r="D16" s="16">
        <f>SUBTOTAL(109,数据[[年度成本 ]])</f>
        <v>4250500</v>
      </c>
      <c r="E16" s="17">
        <f>SUBTOTAL(109,数据[总计百分比])</f>
        <v>1</v>
      </c>
      <c r="F16" s="17"/>
      <c r="G16" s="2"/>
      <c r="H16" s="12"/>
      <c r="I16" s="2"/>
      <c r="J16" s="2"/>
    </row>
    <row r="17" spans="1:10" ht="30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</sheetData>
  <dataConsolidate/>
  <mergeCells count="2">
    <mergeCell ref="C2:F2"/>
    <mergeCell ref="C3:F3"/>
  </mergeCells>
  <phoneticPr fontId="26" type="noConversion"/>
  <printOptions horizontalCentered="1"/>
  <pageMargins left="0.75" right="0.75" top="1" bottom="1" header="0.5" footer="0.5"/>
  <pageSetup paperSize="9" fitToHeight="0" orientation="portrait" r:id="rId1"/>
  <headerFooter differentFirst="1">
    <oddFooter>Page &amp;P of &amp;N</oddFooter>
  </headerFooter>
  <ignoredErrors>
    <ignoredError sqref="E6:F6" calculatedColumn="1"/>
  </ignoredErrors>
  <drawing r:id="rId2"/>
  <tableParts count="1">
    <tablePart r:id="rId3"/>
  </tableParts>
</worksheet>
</file>

<file path=customXml/_rels/item3.xml.rels>&#65279;<?xml version="1.0" encoding="utf-8"?><Relationships xmlns="http://schemas.openxmlformats.org/package/2006/relationships"><Relationship Type="http://schemas.openxmlformats.org/officeDocument/2006/relationships/customXmlProps" Target="/customXml/itemProps31.xml" Id="rId1" /></Relationships>
</file>

<file path=customXml/_rels/item13.xml.rels>&#65279;<?xml version="1.0" encoding="utf-8"?><Relationships xmlns="http://schemas.openxmlformats.org/package/2006/relationships"><Relationship Type="http://schemas.openxmlformats.org/officeDocument/2006/relationships/customXmlProps" Target="/customXml/itemProps13.xml" Id="rId1" /></Relationships>
</file>

<file path=customXml/_rels/item22.xml.rels>&#65279;<?xml version="1.0" encoding="utf-8"?><Relationships xmlns="http://schemas.openxmlformats.org/package/2006/relationships"><Relationship Type="http://schemas.openxmlformats.org/officeDocument/2006/relationships/customXmlProps" Target="/customXml/itemProps22.xml" Id="rId1" /></Relationship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3.xml><?xml version="1.0" encoding="utf-8"?>
<ds:datastoreItem xmlns:ds="http://schemas.openxmlformats.org/officeDocument/2006/customXml" ds:itemID="{180B87BD-15CE-47A6-99E2-0A921A232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2.xml><?xml version="1.0" encoding="utf-8"?>
<ds:datastoreItem xmlns:ds="http://schemas.openxmlformats.org/officeDocument/2006/customXml" ds:itemID="{C047311A-83AF-41BD-9A1D-150ACBC1C729}">
  <ds:schemaRefs>
    <ds:schemaRef ds:uri="http://schemas.microsoft.com/sharepoint/v3/contenttype/forms"/>
  </ds:schemaRefs>
</ds:datastoreItem>
</file>

<file path=customXml/itemProps31.xml><?xml version="1.0" encoding="utf-8"?>
<ds:datastoreItem xmlns:ds="http://schemas.openxmlformats.org/officeDocument/2006/customXml" ds:itemID="{4393270B-66C7-49C1-B2F7-4B2AAA17FD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ap:Properties xmlns:vt="http://schemas.openxmlformats.org/officeDocument/2006/docPropsVTypes" xmlns:ap="http://schemas.openxmlformats.org/officeDocument/2006/extended-properties">
  <ap:Template>TM04038910</ap:Template>
  <ap:DocSecurity>0</ap:DocSecurity>
  <ap:ScaleCrop>false</ap:ScaleCrop>
  <ap: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ap:HeadingPairs>
  <ap:TitlesOfParts>
    <vt:vector baseType="lpstr" size="3">
      <vt:lpstr>成本数据和图表</vt:lpstr>
      <vt:lpstr>成本数据和图表!Print_Titles</vt:lpstr>
      <vt:lpstr>列标题1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2023-02-23T16:52:46Z</dcterms:created>
  <dcterms:modified xsi:type="dcterms:W3CDTF">2023-05-08T05:15:25Z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