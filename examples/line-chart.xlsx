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bakey\Downloads\表格模板\中\"/>
    </mc:Choice>
  </mc:AlternateContent>
  <xr:revisionPtr revIDLastSave="0" documentId="13_ncr:1_{26AF26DF-BB81-4709-9989-ABBE4E4211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I9" i="1"/>
  <c r="L8" i="1"/>
  <c r="I8" i="1"/>
  <c r="L7" i="1"/>
  <c r="I7" i="1"/>
  <c r="L6" i="1"/>
  <c r="I6" i="1"/>
</calcChain>
</file>

<file path=xl/sharedStrings.xml><?xml version="1.0" encoding="utf-8"?>
<sst xmlns="http://schemas.openxmlformats.org/spreadsheetml/2006/main" count="17" uniqueCount="17">
  <si>
    <t>股票指数走势分析</t>
  </si>
  <si>
    <t>序号</t>
  </si>
  <si>
    <t>类别</t>
  </si>
  <si>
    <t>均价</t>
  </si>
  <si>
    <t>最高价</t>
  </si>
  <si>
    <t>最低价</t>
  </si>
  <si>
    <t>昨收</t>
  </si>
  <si>
    <t>成交量</t>
  </si>
  <si>
    <t>成交额</t>
  </si>
  <si>
    <t>上涨股数</t>
  </si>
  <si>
    <t>下跌股数</t>
  </si>
  <si>
    <t>振幅</t>
  </si>
  <si>
    <t>近7日收盘价</t>
  </si>
  <si>
    <t>道琼斯</t>
  </si>
  <si>
    <t>纳斯达克</t>
  </si>
  <si>
    <t>标普500</t>
  </si>
  <si>
    <t>港股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</si>
</sst>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2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8" tint="-0.49998474074526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8"/>
      <color theme="0"/>
      <name val="Noto Sans SC Black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8497B0"/>
        <bgColor indexed="64"/>
      </patternFill>
    </fill>
    <fill>
      <patternFill patternType="solid">
        <fgColor rgb="FFD6DCE4"/>
        <bgColor indexed="64"/>
      </patternFill>
    </fill>
  </fills>
  <borders count="4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6DCE4"/>
      <color rgb="FF849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>
                <a:solidFill>
                  <a:schemeClr val="bg1">
                    <a:lumMod val="50000"/>
                  </a:schemeClr>
                </a:solidFill>
                <a:latin typeface="+mn-ea"/>
                <a:ea typeface="微软雅黑" panose="020B0503020204020204" charset="-122"/>
                <a:cs typeface="+mn-ea"/>
              </a:rPr>
              <a:t>7</a:t>
            </a:r>
            <a:r>
              <a:rPr lang="zh-CN" altLang="en-US" sz="1400">
                <a:solidFill>
                  <a:schemeClr val="bg1">
                    <a:lumMod val="50000"/>
                  </a:schemeClr>
                </a:solidFill>
                <a:latin typeface="+mn-ea"/>
                <a:cs typeface="+mn-ea"/>
              </a:rPr>
              <a:t>日走势图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道琼斯</c:v>
                </c:pt>
              </c:strCache>
            </c:strRef>
          </c:tx>
          <c:spPr>
            <a:ln w="28575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Sheet1!$M$6:$S$6</c:f>
              <c:numCache>
                <c:formatCode>0.00_ </c:formatCode>
                <c:ptCount val="7"/>
                <c:pt idx="0">
                  <c:v>23.6</c:v>
                </c:pt>
                <c:pt idx="1">
                  <c:v>23.78</c:v>
                </c:pt>
                <c:pt idx="2">
                  <c:v>24.67</c:v>
                </c:pt>
                <c:pt idx="3">
                  <c:v>23.2</c:v>
                </c:pt>
                <c:pt idx="4">
                  <c:v>25</c:v>
                </c:pt>
                <c:pt idx="5">
                  <c:v>25.3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9-404A-AC55-B28A960C381A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纳斯达克</c:v>
                </c:pt>
              </c:strCache>
            </c:strRef>
          </c:tx>
          <c:spPr>
            <a:ln w="28575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Sheet1!$M$7:$S$7</c:f>
              <c:numCache>
                <c:formatCode>0.00_ </c:formatCode>
                <c:ptCount val="7"/>
                <c:pt idx="0">
                  <c:v>17.3</c:v>
                </c:pt>
                <c:pt idx="1">
                  <c:v>17.8</c:v>
                </c:pt>
                <c:pt idx="2">
                  <c:v>18.399999999999999</c:v>
                </c:pt>
                <c:pt idx="3">
                  <c:v>18.3</c:v>
                </c:pt>
                <c:pt idx="4">
                  <c:v>18</c:v>
                </c:pt>
                <c:pt idx="5">
                  <c:v>17.399999999999999</c:v>
                </c:pt>
                <c:pt idx="6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9-404A-AC55-B28A960C381A}"/>
            </c:ext>
          </c:extLst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标普500</c:v>
                </c:pt>
              </c:strCache>
            </c:strRef>
          </c:tx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Sheet1!$M$8:$S$8</c:f>
              <c:numCache>
                <c:formatCode>0.00_ </c:formatCode>
                <c:ptCount val="7"/>
                <c:pt idx="0">
                  <c:v>7.7</c:v>
                </c:pt>
                <c:pt idx="1">
                  <c:v>7.8</c:v>
                </c:pt>
                <c:pt idx="2">
                  <c:v>7.5</c:v>
                </c:pt>
                <c:pt idx="3">
                  <c:v>7.9</c:v>
                </c:pt>
                <c:pt idx="4">
                  <c:v>7.99</c:v>
                </c:pt>
                <c:pt idx="5">
                  <c:v>8</c:v>
                </c:pt>
                <c:pt idx="6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9-404A-AC55-B28A960C381A}"/>
            </c:ext>
          </c:extLst>
        </c:ser>
        <c:ser>
          <c:idx val="3"/>
          <c:order val="3"/>
          <c:tx>
            <c:strRef>
              <c:f>Sheet1!$C$9</c:f>
              <c:strCache>
                <c:ptCount val="1"/>
                <c:pt idx="0">
                  <c:v>港股</c:v>
                </c:pt>
              </c:strCache>
            </c:strRef>
          </c:tx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Sheet1!$M$9:$S$9</c:f>
              <c:numCache>
                <c:formatCode>0.00_ </c:formatCode>
                <c:ptCount val="7"/>
                <c:pt idx="0">
                  <c:v>20.2</c:v>
                </c:pt>
                <c:pt idx="1">
                  <c:v>21</c:v>
                </c:pt>
                <c:pt idx="2">
                  <c:v>20.6</c:v>
                </c:pt>
                <c:pt idx="3">
                  <c:v>20.2</c:v>
                </c:pt>
                <c:pt idx="4">
                  <c:v>19.8</c:v>
                </c:pt>
                <c:pt idx="5">
                  <c:v>20.9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9-404A-AC55-B28A960C38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949469"/>
        <c:axId val="385121166"/>
      </c:lineChart>
      <c:catAx>
        <c:axId val="5979494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121166"/>
        <c:crosses val="autoZero"/>
        <c:auto val="1"/>
        <c:lblAlgn val="ctr"/>
        <c:lblOffset val="100"/>
        <c:noMultiLvlLbl val="0"/>
      </c:catAx>
      <c:valAx>
        <c:axId val="385121166"/>
        <c:scaling>
          <c:orientation val="minMax"/>
          <c:max val="28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9494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ea"/>
                <a:ea typeface="+mn-ea"/>
                <a:cs typeface="+mn-ea"/>
                <a:sym typeface="+mn-ea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ea"/>
                <a:ea typeface="+mn-ea"/>
                <a:cs typeface="+mn-ea"/>
                <a:sym typeface="+mn-ea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ea"/>
                <a:ea typeface="+mn-ea"/>
                <a:cs typeface="+mn-ea"/>
                <a:sym typeface="+mn-ea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ea"/>
                <a:ea typeface="+mn-ea"/>
                <a:cs typeface="+mn-ea"/>
                <a:sym typeface="+mn-ea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bg1">
                  <a:lumMod val="50000"/>
                </a:schemeClr>
              </a:solidFill>
              <a:latin typeface="+mn-ea"/>
              <a:ea typeface="+mn-ea"/>
              <a:cs typeface="+mn-ea"/>
              <a:sym typeface="+mn-ea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6e6526-8310-4690-9859-2962c7e446d9}"/>
      </c:ext>
    </c:extLst>
  </c:chart>
  <c:spPr>
    <a:noFill/>
    <a:ln w="12700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>
                <a:latin typeface="+mn-ea"/>
              </a:rPr>
              <a:t>振幅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tx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Sheet1!$C$6:$C$9</c:f>
              <c:strCache>
                <c:ptCount val="4"/>
                <c:pt idx="0">
                  <c:v>道琼斯</c:v>
                </c:pt>
                <c:pt idx="1">
                  <c:v>纳斯达克</c:v>
                </c:pt>
                <c:pt idx="2">
                  <c:v>标普500</c:v>
                </c:pt>
                <c:pt idx="3">
                  <c:v>港股</c:v>
                </c:pt>
              </c:strCache>
            </c:strRef>
          </c:cat>
          <c:val>
            <c:numRef>
              <c:f>Sheet1!$L$6:$L$9</c:f>
              <c:numCache>
                <c:formatCode>0.00%</c:formatCode>
                <c:ptCount val="4"/>
                <c:pt idx="0">
                  <c:v>8.8624707624299897E-3</c:v>
                </c:pt>
                <c:pt idx="1">
                  <c:v>0.114974857240263</c:v>
                </c:pt>
                <c:pt idx="2">
                  <c:v>9.7268867625625692E-3</c:v>
                </c:pt>
                <c:pt idx="3">
                  <c:v>0.12246621621621601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6-4292-B6C5-EC103E8A30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64290904"/>
        <c:axId val="784834087"/>
      </c:barChart>
      <c:catAx>
        <c:axId val="764290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834087"/>
        <c:crosses val="autoZero"/>
        <c:auto val="1"/>
        <c:lblAlgn val="ctr"/>
        <c:lblOffset val="100"/>
        <c:noMultiLvlLbl val="0"/>
      </c:catAx>
      <c:valAx>
        <c:axId val="78483408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4290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d88f746-b158-4d98-9cc8-223d12ac62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356870</xdr:colOff>
      <xdr:row>11</xdr:row>
      <xdr:rowOff>185420</xdr:rowOff>
    </xdr:from>
    <xdr:to>
      <xdr:col>11</xdr:col>
      <xdr:colOff>647700</xdr:colOff>
      <xdr:row>18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770890</xdr:colOff>
      <xdr:row>11</xdr:row>
      <xdr:rowOff>186055</xdr:rowOff>
    </xdr:from>
    <xdr:to>
      <xdr:col>18</xdr:col>
      <xdr:colOff>739140</xdr:colOff>
      <xdr:row>18</xdr:row>
      <xdr:rowOff>83820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1"/>
  <sheetViews>
    <sheetView showGridLines="0" tabSelected="1" zoomScale="110" zoomScaleNormal="110" workbookViewId="0">
      <selection activeCell="B11" sqref="B11:S11"/>
    </sheetView>
  </sheetViews>
  <sheetFormatPr defaultColWidth="10.6875" defaultRowHeight="32" customHeight="1" x14ac:dyDescent="0.4"/>
  <cols>
    <col min="1" max="1" width="5.25" style="1" customWidth="1"/>
    <col min="2" max="2" width="9.0625" style="1" customWidth="1"/>
    <col min="3" max="3" width="11.9375" style="1" customWidth="1"/>
    <col min="4" max="9" width="9.1875" style="1" customWidth="1"/>
    <col min="10" max="11" width="10.9375" style="1" customWidth="1"/>
    <col min="12" max="12" width="11.875" style="1" customWidth="1"/>
    <col min="13" max="17" width="9.5" style="1" customWidth="1"/>
    <col min="18" max="18" width="10.6875" style="1" customWidth="1"/>
    <col min="19" max="16384" width="10.6875" style="1"/>
  </cols>
  <sheetData>
    <row r="1" spans="2:19" ht="10.9" customHeight="1" x14ac:dyDescent="0.4"/>
    <row r="2" spans="2:19" ht="43.5" customHeight="1" x14ac:dyDescent="0.4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19" ht="15" customHeight="1" x14ac:dyDescent="0.4"/>
    <row r="4" spans="2:19" ht="37.049999999999997" customHeight="1" x14ac:dyDescent="0.4"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/>
      <c r="O4" s="6"/>
      <c r="P4" s="6"/>
      <c r="Q4" s="6"/>
      <c r="R4" s="6"/>
      <c r="S4" s="6"/>
    </row>
    <row r="5" spans="2:19" ht="32" customHeight="1" x14ac:dyDescent="0.4">
      <c r="B5" s="6"/>
      <c r="C5" s="6"/>
      <c r="D5" s="6"/>
      <c r="E5" s="8"/>
      <c r="F5" s="8"/>
      <c r="G5" s="8"/>
      <c r="H5" s="6"/>
      <c r="I5" s="6"/>
      <c r="J5" s="6"/>
      <c r="K5" s="6"/>
      <c r="L5" s="6"/>
      <c r="M5" s="9">
        <v>1</v>
      </c>
      <c r="N5" s="9">
        <v>2</v>
      </c>
      <c r="O5" s="9">
        <v>3</v>
      </c>
      <c r="P5" s="9">
        <v>4</v>
      </c>
      <c r="Q5" s="9">
        <v>5</v>
      </c>
      <c r="R5" s="9">
        <v>6</v>
      </c>
      <c r="S5" s="9">
        <v>7</v>
      </c>
    </row>
    <row r="6" spans="2:19" ht="32" customHeight="1" x14ac:dyDescent="0.4">
      <c r="B6" s="2">
        <v>1</v>
      </c>
      <c r="C6" s="2" t="s">
        <v>13</v>
      </c>
      <c r="D6" s="2">
        <v>23.56</v>
      </c>
      <c r="E6" s="2">
        <v>46684</v>
      </c>
      <c r="F6" s="2">
        <v>46271</v>
      </c>
      <c r="G6" s="2">
        <v>46601</v>
      </c>
      <c r="H6" s="2">
        <v>2000</v>
      </c>
      <c r="I6" s="2">
        <f>H6*D6</f>
        <v>47120</v>
      </c>
      <c r="J6" s="2">
        <v>24.33</v>
      </c>
      <c r="K6" s="2">
        <v>24.33</v>
      </c>
      <c r="L6" s="3">
        <f>(E6-F6)/G6</f>
        <v>8.8624707624299897E-3</v>
      </c>
      <c r="M6" s="4">
        <v>23.6</v>
      </c>
      <c r="N6" s="4">
        <v>23.78</v>
      </c>
      <c r="O6" s="4">
        <v>24.67</v>
      </c>
      <c r="P6" s="4">
        <v>23.2</v>
      </c>
      <c r="Q6" s="4">
        <v>25</v>
      </c>
      <c r="R6" s="4">
        <v>25.3</v>
      </c>
      <c r="S6" s="4">
        <v>27</v>
      </c>
    </row>
    <row r="7" spans="2:19" ht="32" customHeight="1" x14ac:dyDescent="0.4">
      <c r="B7" s="9">
        <v>2</v>
      </c>
      <c r="C7" s="9" t="s">
        <v>14</v>
      </c>
      <c r="D7" s="9">
        <v>17.899999999999999</v>
      </c>
      <c r="E7" s="9">
        <v>6243</v>
      </c>
      <c r="F7" s="9">
        <v>3545</v>
      </c>
      <c r="G7" s="9">
        <v>23466</v>
      </c>
      <c r="H7" s="9">
        <v>5000</v>
      </c>
      <c r="I7" s="9">
        <f>H7*D7</f>
        <v>89500</v>
      </c>
      <c r="J7" s="9">
        <v>18.23</v>
      </c>
      <c r="K7" s="9">
        <v>18.23</v>
      </c>
      <c r="L7" s="10">
        <f>(E7-F7)/G7</f>
        <v>0.114974857240263</v>
      </c>
      <c r="M7" s="11">
        <v>17.3</v>
      </c>
      <c r="N7" s="11">
        <v>17.8</v>
      </c>
      <c r="O7" s="11">
        <v>18.399999999999999</v>
      </c>
      <c r="P7" s="11">
        <v>18.3</v>
      </c>
      <c r="Q7" s="11">
        <v>18</v>
      </c>
      <c r="R7" s="11">
        <v>17.399999999999999</v>
      </c>
      <c r="S7" s="11">
        <v>18.100000000000001</v>
      </c>
    </row>
    <row r="8" spans="2:19" ht="32" customHeight="1" x14ac:dyDescent="0.4">
      <c r="B8" s="2">
        <v>3</v>
      </c>
      <c r="C8" s="2" t="s">
        <v>15</v>
      </c>
      <c r="D8" s="2">
        <v>7.9</v>
      </c>
      <c r="E8" s="2">
        <v>58232</v>
      </c>
      <c r="F8" s="2">
        <v>57618</v>
      </c>
      <c r="G8" s="2">
        <v>63124</v>
      </c>
      <c r="H8" s="2">
        <v>10000</v>
      </c>
      <c r="I8" s="2">
        <f>H8*D8</f>
        <v>79000</v>
      </c>
      <c r="J8" s="2">
        <v>8.02</v>
      </c>
      <c r="K8" s="2">
        <v>8.02</v>
      </c>
      <c r="L8" s="3">
        <f>(E8-F8)/G8</f>
        <v>9.7268867625625692E-3</v>
      </c>
      <c r="M8" s="4">
        <v>7.7</v>
      </c>
      <c r="N8" s="4">
        <v>7.8</v>
      </c>
      <c r="O8" s="4">
        <v>7.5</v>
      </c>
      <c r="P8" s="4">
        <v>7.9</v>
      </c>
      <c r="Q8" s="4">
        <v>7.99</v>
      </c>
      <c r="R8" s="4">
        <v>8</v>
      </c>
      <c r="S8" s="4">
        <v>8.6999999999999993</v>
      </c>
    </row>
    <row r="9" spans="2:19" ht="32" customHeight="1" x14ac:dyDescent="0.4">
      <c r="B9" s="9">
        <v>4</v>
      </c>
      <c r="C9" s="9" t="s">
        <v>16</v>
      </c>
      <c r="D9" s="9">
        <v>20.100000000000001</v>
      </c>
      <c r="E9" s="9">
        <v>2673</v>
      </c>
      <c r="F9" s="9">
        <v>2383</v>
      </c>
      <c r="G9" s="9">
        <v>2368</v>
      </c>
      <c r="H9" s="9">
        <v>2500</v>
      </c>
      <c r="I9" s="9">
        <f>H9*D9</f>
        <v>50250</v>
      </c>
      <c r="J9" s="9">
        <v>20.399999999999999</v>
      </c>
      <c r="K9" s="9">
        <v>20.399999999999999</v>
      </c>
      <c r="L9" s="10">
        <f>(E9-F9)/G9</f>
        <v>0.12246621621621601</v>
      </c>
      <c r="M9" s="11">
        <v>20.2</v>
      </c>
      <c r="N9" s="11">
        <v>21</v>
      </c>
      <c r="O9" s="11">
        <v>20.6</v>
      </c>
      <c r="P9" s="11">
        <v>20.2</v>
      </c>
      <c r="Q9" s="11">
        <v>19.8</v>
      </c>
      <c r="R9" s="11">
        <v>20.9</v>
      </c>
      <c r="S9" s="11">
        <v>21</v>
      </c>
    </row>
    <row r="10" spans="2:19" ht="32" customHeight="1" x14ac:dyDescent="0.4"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ht="32" customHeight="1" x14ac:dyDescent="0.4">
      <c r="B11" s="9">
        <v>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</sheetData>
  <mergeCells count="13">
    <mergeCell ref="B2:S2"/>
    <mergeCell ref="M4:S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honeticPr fontId="3" type="noConversion"/>
  <conditionalFormatting sqref="I6:I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{782BDA59-E27F-4091-8043-0395DF069953}</x14:id>
        </ext>
      </extLst>
    </cfRule>
  </conditionalFormatting>
  <conditionalFormatting sqref="L6:L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{609F1526-112A-4E9B-9003-42DC63CECE0B}</x14:id>
        </ext>
      </extLst>
    </cfRule>
  </conditionalFormatting>
  <pageMargins left="0.39305555555555599" right="0.39305555555555599" top="0.39305555555555599" bottom="0.39305555555555599" header="0.51180555555555596" footer="0.51180555555555596"/>
  <pageSetup paperSize="9" scale="85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2BDA59-E27F-4091-8043-0395DF069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I6:I9</xm:sqref>
        </x14:conditionalFormatting>
        <x14:conditionalFormatting xmlns:xm="http://schemas.microsoft.com/office/excel/2006/main">
          <x14:cfRule type="dataBar" id="{609F1526-112A-4E9B-9003-42DC63CEC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L6:L9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hunterliu</dc:creator>
  <cp:lastModifiedBy>dan liu</cp:lastModifiedBy>
  <dcterms:created xsi:type="dcterms:W3CDTF">2020-08-01T02:48:00Z</dcterms:created>
  <dcterms:modified xsi:type="dcterms:W3CDTF">2025-11-25T05:46:45Z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480008984ED641708EFC4914431A9151_11</vt:lpwstr>
  </property>
  <property fmtid="{D5CDD505-2E9C-101B-9397-08002B2CF9AE}" pid="3" name="KSOProductBuildVer">
    <vt:lpwstr>2052-12.1.0.22529</vt:lpwstr>
  </property>
  <property fmtid="{D5CDD505-2E9C-101B-9397-08002B2CF9AE}" pid="4" name="KSOTemplateUUID">
    <vt:lpwstr>v1.0_mb_tk9b55mRzT+JY/62RQ2xuw==</vt:lpwstr>
  </property>
</Properties>
</file>